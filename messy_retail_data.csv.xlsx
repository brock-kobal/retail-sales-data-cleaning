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bkoba\GIS\"/>
    </mc:Choice>
  </mc:AlternateContent>
  <xr:revisionPtr revIDLastSave="0" documentId="8_{0DAA1C9A-DCEA-441C-BCD1-79B8DA82E0D7}" xr6:coauthVersionLast="47" xr6:coauthVersionMax="47" xr10:uidLastSave="{00000000-0000-0000-0000-000000000000}"/>
  <bookViews>
    <workbookView xWindow="5436" yWindow="2652" windowWidth="17280" windowHeight="9960" activeTab="3" xr2:uid="{10876F7D-934B-4CBF-812E-F7AAB47C26B1}"/>
  </bookViews>
  <sheets>
    <sheet name="Sheet1" sheetId="2" r:id="rId1"/>
    <sheet name="Sheet2" sheetId="3" r:id="rId2"/>
    <sheet name="Sheet5" sheetId="6" r:id="rId3"/>
    <sheet name="messy_retail_data" sheetId="1" r:id="rId4"/>
    <sheet name="Sheet6" sheetId="8" r:id="rId5"/>
  </sheets>
  <definedNames>
    <definedName name="NativeTimeline_Clean_Date">#N/A</definedName>
    <definedName name="Slicer_Clean_Product_Category">#N/A</definedName>
    <definedName name="Slicer_Clean_Region">#N/A</definedName>
  </definedNames>
  <calcPr calcId="191029"/>
  <pivotCaches>
    <pivotCache cacheId="25"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2" i="1"/>
  <c r="I3" i="1"/>
</calcChain>
</file>

<file path=xl/sharedStrings.xml><?xml version="1.0" encoding="utf-8"?>
<sst xmlns="http://schemas.openxmlformats.org/spreadsheetml/2006/main" count="630" uniqueCount="171">
  <si>
    <t>Region</t>
  </si>
  <si>
    <t>Product Category</t>
  </si>
  <si>
    <t>Product Name</t>
  </si>
  <si>
    <t>Units Sold</t>
  </si>
  <si>
    <t>Unit Price</t>
  </si>
  <si>
    <t>2024-01-26T00:00:00.000000000</t>
  </si>
  <si>
    <t>Home Goods</t>
  </si>
  <si>
    <t>T-Shirt</t>
  </si>
  <si>
    <t>2024-02-12T00:00:00.000000000</t>
  </si>
  <si>
    <t>WEST</t>
  </si>
  <si>
    <t>Electronics</t>
  </si>
  <si>
    <t>Vacuum</t>
  </si>
  <si>
    <t>Jeans</t>
  </si>
  <si>
    <t>West</t>
  </si>
  <si>
    <t>Clothing</t>
  </si>
  <si>
    <t>Laptop</t>
  </si>
  <si>
    <t>2024-07-14T00:00:00.000000000</t>
  </si>
  <si>
    <t>2024-10-06T00:00:00.000000000</t>
  </si>
  <si>
    <t>electronics</t>
  </si>
  <si>
    <t>2024-05-29T00:00:00.000000000</t>
  </si>
  <si>
    <t>South</t>
  </si>
  <si>
    <t>Phone</t>
  </si>
  <si>
    <t>2024-05-03T00:00:00.000000000</t>
  </si>
  <si>
    <t>Lamp</t>
  </si>
  <si>
    <t>Midwest</t>
  </si>
  <si>
    <t>Tablet</t>
  </si>
  <si>
    <t>2024-11-19T00:00:00.000000000</t>
  </si>
  <si>
    <t>Northeast</t>
  </si>
  <si>
    <t>2024-06-18T00:00:00.000000000</t>
  </si>
  <si>
    <t>2024-09-17T00:00:00.000000000</t>
  </si>
  <si>
    <t>2024-08-03T00:00:00.000000000</t>
  </si>
  <si>
    <t xml:space="preserve">west </t>
  </si>
  <si>
    <t>2024-06-02T00:00:00.000000000</t>
  </si>
  <si>
    <t>2024-10-25T00:00:00.000000000</t>
  </si>
  <si>
    <t>2024-08-11T00:00:00.000000000</t>
  </si>
  <si>
    <t>2024-03-18T00:00:00.000000000</t>
  </si>
  <si>
    <t>2024-05-05T00:00:00.000000000</t>
  </si>
  <si>
    <t>2024-05-01T00:00:00.000000000</t>
  </si>
  <si>
    <t>2024-08-26T00:00:00.000000000</t>
  </si>
  <si>
    <t>2024-09-22T00:00:00.000000000</t>
  </si>
  <si>
    <t>2024-05-06T00:00:00.000000000</t>
  </si>
  <si>
    <t>2024-06-26T00:00:00.000000000</t>
  </si>
  <si>
    <t>2024-11-09T00:00:00.000000000</t>
  </si>
  <si>
    <t>2024-01-29T00:00:00.000000000</t>
  </si>
  <si>
    <t>2024-05-27T00:00:00.000000000</t>
  </si>
  <si>
    <t>2024-09-15T00:00:00.000000000</t>
  </si>
  <si>
    <t>2024-02-01T00:00:00.000000000</t>
  </si>
  <si>
    <t>2024-01-01T00:00:00.000000000</t>
  </si>
  <si>
    <t>2024-08-02T00:00:00.000000000</t>
  </si>
  <si>
    <t>2024-07-06T00:00:00.000000000</t>
  </si>
  <si>
    <t>2024-08-14T00:00:00.000000000</t>
  </si>
  <si>
    <t>2024-04-13T00:00:00.000000000</t>
  </si>
  <si>
    <t>2024-08-07T00:00:00.000000000</t>
  </si>
  <si>
    <t>2024-12-19T00:00:00.000000000</t>
  </si>
  <si>
    <t>2024-06-29T00:00:00.000000000</t>
  </si>
  <si>
    <t>2024-12-08T00:00:00.000000000</t>
  </si>
  <si>
    <t>2024-01-30T00:00:00.000000000</t>
  </si>
  <si>
    <t>2024-05-12T00:00:00.000000000</t>
  </si>
  <si>
    <t>2024-10-07T00:00:00.000000000</t>
  </si>
  <si>
    <t>2024-01-11T00:00:00.000000000</t>
  </si>
  <si>
    <t>2024-03-22T00:00:00.000000000</t>
  </si>
  <si>
    <t>2024-09-18T00:00:00.000000000</t>
  </si>
  <si>
    <t>2024-10-04T00:00:00.000000000</t>
  </si>
  <si>
    <t>2024-07-21T00:00:00.000000000</t>
  </si>
  <si>
    <t>2024-05-17T00:00:00.000000000</t>
  </si>
  <si>
    <t>2024-11-29T00:00:00.000000000</t>
  </si>
  <si>
    <t>2024-04-27T00:00:00.000000000</t>
  </si>
  <si>
    <t>2024-05-07T00:00:00.000000000</t>
  </si>
  <si>
    <t>2024-03-02T00:00:00.000000000</t>
  </si>
  <si>
    <t>2024-07-27T00:00:00.000000000</t>
  </si>
  <si>
    <t>2024-03-15T00:00:00.000000000</t>
  </si>
  <si>
    <t>2024-11-30T00:00:00.000000000</t>
  </si>
  <si>
    <t>2024-03-10T00:00:00.000000000</t>
  </si>
  <si>
    <t>2024-06-25T00:00:00.000000000</t>
  </si>
  <si>
    <t>2024-03-26T00:00:00.000000000</t>
  </si>
  <si>
    <t>2024-08-12T00:00:00.000000000</t>
  </si>
  <si>
    <t>2024-06-30T00:00:00.000000000</t>
  </si>
  <si>
    <t>2024-12-11T00:00:00.000000000</t>
  </si>
  <si>
    <t>2024-10-31T00:00:00.000000000</t>
  </si>
  <si>
    <t>2024-02-15T00:00:00.000000000</t>
  </si>
  <si>
    <t>2024-02-09T00:00:00.000000000</t>
  </si>
  <si>
    <t>2024-05-23T00:00:00.000000000</t>
  </si>
  <si>
    <t>2024-10-29T00:00:00.000000000</t>
  </si>
  <si>
    <t>2024-08-04T00:00:00.000000000</t>
  </si>
  <si>
    <t>2024-10-24T00:00:00.000000000</t>
  </si>
  <si>
    <t>2024-08-08T00:00:00.000000000</t>
  </si>
  <si>
    <t>2024-03-23T00:00:00.000000000</t>
  </si>
  <si>
    <t>2024-03-14T00:00:00.000000000</t>
  </si>
  <si>
    <t>2024-04-28T00:00:00.000000000</t>
  </si>
  <si>
    <t>2024-01-14T00:00:00.000000000</t>
  </si>
  <si>
    <t>2024-12-03T00:00:00.000000000</t>
  </si>
  <si>
    <t>2024-10-16T00:00:00.000000000</t>
  </si>
  <si>
    <t>2024-01-20T00:00:00.000000000</t>
  </si>
  <si>
    <t>2024-04-15T00:00:00.000000000</t>
  </si>
  <si>
    <t>2024-10-30T00:00:00.000000000</t>
  </si>
  <si>
    <t>2024-06-04T00:00:00.000000000</t>
  </si>
  <si>
    <t>2024-01-27T00:00:00.000000000</t>
  </si>
  <si>
    <t>2024-09-10T00:00:00.000000000</t>
  </si>
  <si>
    <t>2024-07-26T00:00:00.000000000</t>
  </si>
  <si>
    <t>2024-12-12T00:00:00.000000000</t>
  </si>
  <si>
    <t>2024-10-08T00:00:00.000000000</t>
  </si>
  <si>
    <t>2024-10-26T00:00:00.000000000</t>
  </si>
  <si>
    <t>2024-02-07T00:00:00.000000000</t>
  </si>
  <si>
    <t>2024-10-11T00:00:00.000000000</t>
  </si>
  <si>
    <t>2024-01-23T00:00:00.000000000</t>
  </si>
  <si>
    <t>2024-08-31T00:00:00.000000000</t>
  </si>
  <si>
    <t>2024-10-02T00:00:00.000000000</t>
  </si>
  <si>
    <t>2024-10-01T00:00:00.000000000</t>
  </si>
  <si>
    <t>2024-08-25T00:00:00.000000000</t>
  </si>
  <si>
    <t>2024-12-30T00:00:00.000000000</t>
  </si>
  <si>
    <t>2024-03-05T00:00:00.000000000</t>
  </si>
  <si>
    <t>2024-06-22T00:00:00.000000000</t>
  </si>
  <si>
    <t>2024-04-12T00:00:00.000000000</t>
  </si>
  <si>
    <t>2024-09-25T00:00:00.000000000</t>
  </si>
  <si>
    <t>2024-06-27T00:00:00.000000000</t>
  </si>
  <si>
    <t>2024-09-26T00:00:00.000000000</t>
  </si>
  <si>
    <t>2024-07-04T00:00:00.000000000</t>
  </si>
  <si>
    <t>2024-11-12T00:00:00.000000000</t>
  </si>
  <si>
    <t>2024-11-13T00:00:00.000000000</t>
  </si>
  <si>
    <t>2024-05-09T00:00:00.000000000</t>
  </si>
  <si>
    <t>2024-11-04T00:00:00.000000000</t>
  </si>
  <si>
    <t>2024-03-12T00:00:00.000000000</t>
  </si>
  <si>
    <t>2024-01-13T00:00:00.000000000</t>
  </si>
  <si>
    <t>2024-12-05T00:00:00.000000000</t>
  </si>
  <si>
    <t>2024-11-26T00:00:00.000000000</t>
  </si>
  <si>
    <t>2024-03-21T00:00:00.000000000</t>
  </si>
  <si>
    <t>2024-05-24T00:00:00.000000000</t>
  </si>
  <si>
    <t>2024-01-17T00:00:00.000000000</t>
  </si>
  <si>
    <t>2024-04-18T00:00:00.000000000</t>
  </si>
  <si>
    <t>2024-01-16T00:00:00.000000000</t>
  </si>
  <si>
    <t>2024-08-05T00:00:00.000000000</t>
  </si>
  <si>
    <t>2024-06-19T00:00:00.000000000</t>
  </si>
  <si>
    <t>2024-08-19T00:00:00.000000000</t>
  </si>
  <si>
    <t>2024-05-16T00:00:00.000000000</t>
  </si>
  <si>
    <t>2024-03-19T00:00:00.000000000</t>
  </si>
  <si>
    <t>2024-06-06T00:00:00.000000000</t>
  </si>
  <si>
    <t>2024-06-01T00:00:00.000000000</t>
  </si>
  <si>
    <t>2024-08-13T00:00:00.000000000</t>
  </si>
  <si>
    <t>2024-01-03T00:00:00.000000000</t>
  </si>
  <si>
    <t>2024-05-11T00:00:00.000000000</t>
  </si>
  <si>
    <t>2024-02-18T00:00:00.000000000</t>
  </si>
  <si>
    <t>2024-04-21T00:00:00.000000000</t>
  </si>
  <si>
    <t>2024-09-24T00:00:00.000000000</t>
  </si>
  <si>
    <t>2024-09-20T00:00:00.000000000</t>
  </si>
  <si>
    <t>2024-02-27T00:00:00.000000000</t>
  </si>
  <si>
    <t>Date</t>
  </si>
  <si>
    <t>Clean Region</t>
  </si>
  <si>
    <t>Clean Product Name</t>
  </si>
  <si>
    <t>Clean Product Category</t>
  </si>
  <si>
    <t>home goods</t>
  </si>
  <si>
    <t>Revenue</t>
  </si>
  <si>
    <t>Column2</t>
  </si>
  <si>
    <t>Row Labels</t>
  </si>
  <si>
    <t>Grand Total</t>
  </si>
  <si>
    <t>Sum of Revenue</t>
  </si>
  <si>
    <t>Clean Date</t>
  </si>
  <si>
    <t>Jan</t>
  </si>
  <si>
    <t>Feb</t>
  </si>
  <si>
    <t>Mar</t>
  </si>
  <si>
    <t>Apr</t>
  </si>
  <si>
    <t>May</t>
  </si>
  <si>
    <t>Jun</t>
  </si>
  <si>
    <t>Jul</t>
  </si>
  <si>
    <t>Aug</t>
  </si>
  <si>
    <t>Sep</t>
  </si>
  <si>
    <t>Oct</t>
  </si>
  <si>
    <t>Nov</t>
  </si>
  <si>
    <t>Dec</t>
  </si>
  <si>
    <t>Home goods</t>
  </si>
  <si>
    <t>CLothing</t>
  </si>
  <si>
    <t>clothing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</si>
</sst>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m/d/yy;@"/>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2" fontId="0" fillId="0" borderId="0" xfId="0" applyNumberFormat="1"/>
    <xf numFmtId="164" fontId="0" fillId="0" borderId="0" xfId="1" applyNumberFormat="1" applyFon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4"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6">
    <dxf>
      <numFmt numFmtId="164" formatCode="&quot;$&quot;#,##0.00"/>
    </dxf>
    <dxf>
      <numFmt numFmtId="19" formatCode="m/d/yyyy"/>
    </dxf>
    <dxf>
      <numFmt numFmtId="164" formatCode="&quot;$&quot;#,##0.00"/>
    </dxf>
    <dxf>
      <numFmt numFmtId="164" formatCode="&quot;$&quot;#,##0.00"/>
    </dxf>
    <dxf>
      <numFmt numFmtId="2" formatCode="0.00"/>
    </dxf>
    <dxf>
      <numFmt numFmtId="165"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[messy_retail_data.csv.xlsx]Sheet1!PivotTable1</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Sheet1!$A$4:$A$8</c:f>
              <c:strCache>
                <c:ptCount val="4"/>
                <c:pt idx="0">
                  <c:v>Midwest</c:v>
                </c:pt>
                <c:pt idx="1">
                  <c:v>Northeast</c:v>
                </c:pt>
                <c:pt idx="2">
                  <c:v>South</c:v>
                </c:pt>
                <c:pt idx="3">
                  <c:v>West</c:v>
                </c:pt>
              </c:strCache>
            </c:strRef>
          </c:cat>
          <c:val>
            <c:numRef>
              <c:f>Sheet1!$B$4:$B$8</c:f>
              <c:numCache>
                <c:formatCode>"$"#,##0.00</c:formatCode>
                <c:ptCount val="4"/>
                <c:pt idx="0">
                  <c:v>168111</c:v>
                </c:pt>
                <c:pt idx="1">
                  <c:v>235218</c:v>
                </c:pt>
                <c:pt idx="2">
                  <c:v>129688</c:v>
                </c:pt>
                <c:pt idx="3">
                  <c:v>372547</c:v>
                </c:pt>
              </c:numCache>
            </c:numRef>
          </c:val>
          <c:extLst>
            <c:ext xmlns:c16="http://schemas.microsoft.com/office/drawing/2014/chart" uri="{C3380CC4-5D6E-409C-BE32-E72D297353CC}">
              <c16:uniqueId val="{00000000-FB1F-4B38-A678-FC3E72CD94E8}"/>
            </c:ext>
          </c:extLst>
        </c:ser>
        <c:dLbls>
          <c:showLegendKey val="0"/>
          <c:showVal val="0"/>
          <c:showCatName val="0"/>
          <c:showSerName val="0"/>
          <c:showPercent val="0"/>
          <c:showBubbleSize val="0"/>
        </c:dLbls>
        <c:gapWidth val="219"/>
        <c:overlap val="-27"/>
        <c:axId val="1174940319"/>
        <c:axId val="1174964799"/>
      </c:barChart>
      <c:catAx>
        <c:axId val="117494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964799"/>
        <c:crosses val="autoZero"/>
        <c:auto val="1"/>
        <c:lblAlgn val="ctr"/>
        <c:lblOffset val="100"/>
        <c:noMultiLvlLbl val="0"/>
      </c:catAx>
      <c:valAx>
        <c:axId val="11749647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940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[messy_retail_data.csv.xlsx]Sheet2!PivotTable2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Sheet2!$A$4:$A$5</c:f>
              <c:strCache>
                <c:ptCount val="1"/>
                <c:pt idx="0">
                  <c:v>Clothing</c:v>
                </c:pt>
              </c:strCache>
            </c:strRef>
          </c:cat>
          <c:val>
            <c:numRef>
              <c:f>Sheet2!$B$4:$B$5</c:f>
              <c:numCache>
                <c:formatCode>"$"#,##0.00</c:formatCode>
                <c:ptCount val="1"/>
                <c:pt idx="0">
                  <c:v>325334</c:v>
                </c:pt>
              </c:numCache>
            </c:numRef>
          </c:val>
          <c:extLst>
            <c:ext xmlns:c16="http://schemas.microsoft.com/office/drawing/2014/chart" uri="{C3380CC4-5D6E-409C-BE32-E72D297353CC}">
              <c16:uniqueId val="{00000000-17BE-4C54-981F-6D2C905109B9}"/>
            </c:ext>
          </c:extLst>
        </c:ser>
        <c:dLbls>
          <c:showLegendKey val="0"/>
          <c:showVal val="0"/>
          <c:showCatName val="0"/>
          <c:showSerName val="0"/>
          <c:showPercent val="0"/>
          <c:showBubbleSize val="0"/>
        </c:dLbls>
        <c:gapWidth val="219"/>
        <c:overlap val="-27"/>
        <c:axId val="781519071"/>
        <c:axId val="781521471"/>
      </c:barChart>
      <c:catAx>
        <c:axId val="78151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521471"/>
        <c:crosses val="autoZero"/>
        <c:auto val="1"/>
        <c:lblAlgn val="ctr"/>
        <c:lblOffset val="100"/>
        <c:noMultiLvlLbl val="0"/>
      </c:catAx>
      <c:valAx>
        <c:axId val="7815214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519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[messy_retail_data.csv.xlsx]Sheet5!PivotTable5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none"/>
          </c:marker>
          <c:cat>
            <c:strRef>
              <c:f>Sheet5!$A$4:$A$16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Sheet5!$B$4:$B$16</c:f>
              <c:numCache>
                <c:formatCode>"$"#,##0.00</c:formatCode>
                <c:ptCount val="12"/>
                <c:pt idx="0">
                  <c:v>106322</c:v>
                </c:pt>
                <c:pt idx="1">
                  <c:v>22577</c:v>
                </c:pt>
                <c:pt idx="2">
                  <c:v>70004</c:v>
                </c:pt>
                <c:pt idx="3">
                  <c:v>73589</c:v>
                </c:pt>
                <c:pt idx="4">
                  <c:v>136512</c:v>
                </c:pt>
                <c:pt idx="5">
                  <c:v>86468</c:v>
                </c:pt>
                <c:pt idx="6">
                  <c:v>50360</c:v>
                </c:pt>
                <c:pt idx="7">
                  <c:v>90263</c:v>
                </c:pt>
                <c:pt idx="8">
                  <c:v>56780</c:v>
                </c:pt>
                <c:pt idx="9">
                  <c:v>110821</c:v>
                </c:pt>
                <c:pt idx="10">
                  <c:v>58733</c:v>
                </c:pt>
                <c:pt idx="11">
                  <c:v>43135</c:v>
                </c:pt>
              </c:numCache>
            </c:numRef>
          </c:val>
          <c:smooth val="0"/>
          <c:extLst>
            <c:ext xmlns:c16="http://schemas.microsoft.com/office/drawing/2014/chart" uri="{C3380CC4-5D6E-409C-BE32-E72D297353CC}">
              <c16:uniqueId val="{00000000-5FF4-40A4-B212-0CED2E3C8256}"/>
            </c:ext>
          </c:extLst>
        </c:ser>
        <c:dLbls>
          <c:showLegendKey val="0"/>
          <c:showVal val="0"/>
          <c:showCatName val="0"/>
          <c:showSerName val="0"/>
          <c:showPercent val="0"/>
          <c:showBubbleSize val="0"/>
        </c:dLbls>
        <c:smooth val="0"/>
        <c:axId val="571927264"/>
        <c:axId val="571838416"/>
      </c:lineChart>
      <c:catAx>
        <c:axId val="571927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838416"/>
        <c:crosses val="autoZero"/>
        <c:auto val="1"/>
        <c:lblAlgn val="ctr"/>
        <c:lblOffset val="100"/>
        <c:noMultiLvlLbl val="0"/>
      </c:catAx>
      <c:valAx>
        <c:axId val="5718384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1927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7620</xdr:colOff>
      <xdr:row>1</xdr:row>
      <xdr:rowOff>171450</xdr:rowOff>
    </xdr:from>
    <xdr:to>
      <xdr:col>10</xdr:col>
      <xdr:colOff>312420</xdr:colOff>
      <xdr:row>16</xdr:row>
      <xdr:rowOff>171450</xdr:rowOff>
    </xdr:to>
    <xdr:graphicFrame macro="">
      <xdr:nvGraphicFramePr>
        <xdr:cNvPr id="2" name="Chart 1">
          <a:extLst>
            <a:ext uri="{FF2B5EF4-FFF2-40B4-BE49-F238E27FC236}">
              <a16:creationId xmlns:a16="http://schemas.microsoft.com/office/drawing/2014/main" id="{99D3EBCB-86B6-F681-D77C-4DB508B05B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15240</xdr:colOff>
      <xdr:row>2</xdr:row>
      <xdr:rowOff>0</xdr:rowOff>
    </xdr:from>
    <xdr:to>
      <xdr:col>14</xdr:col>
      <xdr:colOff>15240</xdr:colOff>
      <xdr:row>16</xdr:row>
      <xdr:rowOff>20955</xdr:rowOff>
    </xdr:to>
    <mc:AlternateContent xmlns:mc="http://schemas.openxmlformats.org/markup-compatibility/2006" xmlns:a14="http://schemas.microsoft.com/office/drawing/2010/main">
      <mc:Choice Requires="a14">
        <xdr:graphicFrame macro="">
          <xdr:nvGraphicFramePr>
            <xdr:cNvPr id="4" name="Clean Region">
              <a:extLst>
                <a:ext uri="{FF2B5EF4-FFF2-40B4-BE49-F238E27FC236}">
                  <a16:creationId xmlns:a16="http://schemas.microsoft.com/office/drawing/2014/main" id="{413388F1-7624-ED27-2C26-2C3FB1CA2BDD}"/>
                </a:ext>
              </a:extLst>
            </xdr:cNvPr>
            <xdr:cNvGraphicFramePr/>
          </xdr:nvGraphicFramePr>
          <xdr:xfrm>
            <a:off x="0" y="0"/>
            <a:ext cx="0" cy="0"/>
          </xdr:xfrm>
          <a:graphic>
            <a:graphicData uri="http://schemas.microsoft.com/office/drawing/2010/slicer">
              <sle:slicer xmlns:sle="http://schemas.microsoft.com/office/drawing/2010/slicer" name="Clean Region"/>
            </a:graphicData>
          </a:graphic>
        </xdr:graphicFrame>
      </mc:Choice>
      <mc:Fallback xmlns="">
        <xdr:sp macro="" textlink="">
          <xdr:nvSpPr>
            <xdr:cNvPr id="0" name=""/>
            <xdr:cNvSpPr>
              <a:spLocks noTextEdit="1"/>
            </xdr:cNvSpPr>
          </xdr:nvSpPr>
          <xdr:spPr>
            <a:xfrm>
              <a:off x="7322820" y="3657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xdr:row>
      <xdr:rowOff>179070</xdr:rowOff>
    </xdr:from>
    <xdr:to>
      <xdr:col>10</xdr:col>
      <xdr:colOff>304800</xdr:colOff>
      <xdr:row>16</xdr:row>
      <xdr:rowOff>179070</xdr:rowOff>
    </xdr:to>
    <xdr:graphicFrame macro="">
      <xdr:nvGraphicFramePr>
        <xdr:cNvPr id="2" name="Chart 1">
          <a:extLst>
            <a:ext uri="{FF2B5EF4-FFF2-40B4-BE49-F238E27FC236}">
              <a16:creationId xmlns:a16="http://schemas.microsoft.com/office/drawing/2014/main" id="{4F9A272E-7697-C90F-549A-5D213016E9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7620</xdr:colOff>
      <xdr:row>2</xdr:row>
      <xdr:rowOff>0</xdr:rowOff>
    </xdr:from>
    <xdr:to>
      <xdr:col>14</xdr:col>
      <xdr:colOff>7620</xdr:colOff>
      <xdr:row>16</xdr:row>
      <xdr:rowOff>20955</xdr:rowOff>
    </xdr:to>
    <mc:AlternateContent xmlns:mc="http://schemas.openxmlformats.org/markup-compatibility/2006">
      <mc:Choice xmlns:a14="http://schemas.microsoft.com/office/drawing/2010/main" Requires="a14">
        <xdr:graphicFrame macro="">
          <xdr:nvGraphicFramePr>
            <xdr:cNvPr id="5" name="Clean Product Category">
              <a:extLst>
                <a:ext uri="{FF2B5EF4-FFF2-40B4-BE49-F238E27FC236}">
                  <a16:creationId xmlns:a16="http://schemas.microsoft.com/office/drawing/2014/main" id="{8499892B-EEA2-169D-1EB6-CD37DA073DBB}"/>
                </a:ext>
              </a:extLst>
            </xdr:cNvPr>
            <xdr:cNvGraphicFramePr/>
          </xdr:nvGraphicFramePr>
          <xdr:xfrm>
            <a:off x="0" y="0"/>
            <a:ext cx="0" cy="0"/>
          </xdr:xfrm>
          <a:graphic>
            <a:graphicData uri="http://schemas.microsoft.com/office/drawing/2010/slicer">
              <sle:slicer xmlns:sle="http://schemas.microsoft.com/office/drawing/2010/slicer" name="Clean Product Category"/>
            </a:graphicData>
          </a:graphic>
        </xdr:graphicFrame>
      </mc:Choice>
      <mc:Fallback>
        <xdr:sp macro="" textlink="">
          <xdr:nvSpPr>
            <xdr:cNvPr id="0" name=""/>
            <xdr:cNvSpPr>
              <a:spLocks noTextEdit="1"/>
            </xdr:cNvSpPr>
          </xdr:nvSpPr>
          <xdr:spPr>
            <a:xfrm>
              <a:off x="7315200" y="3657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6</xdr:colOff>
      <xdr:row>1</xdr:row>
      <xdr:rowOff>179070</xdr:rowOff>
    </xdr:from>
    <xdr:to>
      <xdr:col>10</xdr:col>
      <xdr:colOff>304806</xdr:colOff>
      <xdr:row>16</xdr:row>
      <xdr:rowOff>179070</xdr:rowOff>
    </xdr:to>
    <xdr:graphicFrame macro="">
      <xdr:nvGraphicFramePr>
        <xdr:cNvPr id="4" name="Chart 3">
          <a:extLst>
            <a:ext uri="{FF2B5EF4-FFF2-40B4-BE49-F238E27FC236}">
              <a16:creationId xmlns:a16="http://schemas.microsoft.com/office/drawing/2014/main" id="{26787EDD-F2FC-8A89-1843-A86D0C700A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601980</xdr:colOff>
      <xdr:row>2</xdr:row>
      <xdr:rowOff>15240</xdr:rowOff>
    </xdr:from>
    <xdr:to>
      <xdr:col>19</xdr:col>
      <xdr:colOff>586740</xdr:colOff>
      <xdr:row>10</xdr:row>
      <xdr:rowOff>15240</xdr:rowOff>
    </xdr:to>
    <mc:AlternateContent xmlns:mc="http://schemas.openxmlformats.org/markup-compatibility/2006" xmlns:tsle="http://schemas.microsoft.com/office/drawing/2012/timeslicer">
      <mc:Choice Requires="tsle">
        <xdr:graphicFrame macro="">
          <xdr:nvGraphicFramePr>
            <xdr:cNvPr id="8" name="Clean Date">
              <a:extLst>
                <a:ext uri="{FF2B5EF4-FFF2-40B4-BE49-F238E27FC236}">
                  <a16:creationId xmlns:a16="http://schemas.microsoft.com/office/drawing/2014/main" id="{3A46730F-7234-725A-DEAB-C249AF52EFA2}"/>
                </a:ext>
              </a:extLst>
            </xdr:cNvPr>
            <xdr:cNvGraphicFramePr/>
          </xdr:nvGraphicFramePr>
          <xdr:xfrm>
            <a:off x="0" y="0"/>
            <a:ext cx="0" cy="0"/>
          </xdr:xfrm>
          <a:graphic>
            <a:graphicData uri="http://schemas.microsoft.com/office/drawing/2012/timeslicer">
              <tsle:timeslicer name="Clean Date"/>
            </a:graphicData>
          </a:graphic>
        </xdr:graphicFrame>
      </mc:Choice>
      <mc:Fallback xmlns="">
        <xdr:sp macro="" textlink="">
          <xdr:nvSpPr>
            <xdr:cNvPr id="0" name=""/>
            <xdr:cNvSpPr>
              <a:spLocks noTextEdit="1"/>
            </xdr:cNvSpPr>
          </xdr:nvSpPr>
          <xdr:spPr>
            <a:xfrm>
              <a:off x="7299960" y="381000"/>
              <a:ext cx="5471160" cy="146304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68580</xdr:colOff>
      <xdr:row>0</xdr:row>
      <xdr:rowOff>68580</xdr:rowOff>
    </xdr:from>
    <xdr:to>
      <xdr:col>14</xdr:col>
      <xdr:colOff>0</xdr:colOff>
      <xdr:row>23</xdr:row>
      <xdr:rowOff>137160</xdr:rowOff>
    </xdr:to>
    <xdr:sp macro="" textlink="">
      <xdr:nvSpPr>
        <xdr:cNvPr id="2" name="TextBox 1">
          <a:extLst>
            <a:ext uri="{FF2B5EF4-FFF2-40B4-BE49-F238E27FC236}">
              <a16:creationId xmlns:a16="http://schemas.microsoft.com/office/drawing/2014/main" id="{E341263F-85D5-3835-186C-340A73CA0152}"/>
            </a:ext>
          </a:extLst>
        </xdr:cNvPr>
        <xdr:cNvSpPr txBox="1"/>
      </xdr:nvSpPr>
      <xdr:spPr>
        <a:xfrm>
          <a:off x="68580" y="68580"/>
          <a:ext cx="8465820" cy="42748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Assmumptions:</a:t>
          </a:r>
        </a:p>
        <a:p>
          <a:r>
            <a:rPr lang="en-US" sz="1100"/>
            <a:t>-</a:t>
          </a:r>
          <a:r>
            <a:rPr lang="en-US" sz="1100" baseline="0"/>
            <a:t> Removed rows with missing numeric values</a:t>
          </a:r>
        </a:p>
        <a:p>
          <a:r>
            <a:rPr lang="en-US" sz="1100" baseline="0"/>
            <a:t>- Standardized text fields using TRIM/PROPER</a:t>
          </a:r>
        </a:p>
        <a:p>
          <a:r>
            <a:rPr lang="en-US" sz="1100" baseline="0"/>
            <a:t>- Converted text dates to real Excel Dates</a:t>
          </a:r>
        </a:p>
        <a:p>
          <a:r>
            <a:rPr lang="en-US" sz="1100" baseline="0"/>
            <a:t>-Organized misinputed products and categories</a:t>
          </a:r>
        </a:p>
        <a:p>
          <a:endParaRPr lang="en-US" sz="1100" baseline="0"/>
        </a:p>
        <a:p>
          <a:r>
            <a:rPr lang="en-US" sz="1100" baseline="0"/>
            <a:t>Insights:</a:t>
          </a:r>
        </a:p>
        <a:p>
          <a:r>
            <a:rPr lang="en-US" sz="1100" baseline="0"/>
            <a:t>-West region generated the highest revenue</a:t>
          </a:r>
        </a:p>
        <a:p>
          <a:r>
            <a:rPr lang="en-US" sz="1100" baseline="0"/>
            <a:t>-Electronics was the top-performing category</a:t>
          </a:r>
        </a:p>
        <a:p>
          <a:r>
            <a:rPr lang="en-US" sz="1100" baseline="0"/>
            <a:t>-December had the highest monthly revenue</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ock Kobal" refreshedDate="46004.940224768521" createdVersion="8" refreshedVersion="8" minRefreshableVersion="3" recordCount="148" xr:uid="{6CF81C3F-DC34-48AD-BA56-7A12A704E7FA}">
  <cacheSource type="worksheet">
    <worksheetSource name="Table5"/>
  </cacheSource>
  <cacheFields count="14">
    <cacheField name="Date" numFmtId="165">
      <sharedItems/>
    </cacheField>
    <cacheField name="Region" numFmtId="0">
      <sharedItems/>
    </cacheField>
    <cacheField name="Product Category" numFmtId="0">
      <sharedItems/>
    </cacheField>
    <cacheField name="Product Name" numFmtId="0">
      <sharedItems/>
    </cacheField>
    <cacheField name="Units Sold" numFmtId="2">
      <sharedItems containsSemiMixedTypes="0" containsString="0" containsNumber="1" containsInteger="1" minValue="1" maxValue="19"/>
    </cacheField>
    <cacheField name="Unit Price" numFmtId="164">
      <sharedItems containsSemiMixedTypes="0" containsString="0" containsNumber="1" containsInteger="1" minValue="28" maxValue="1195"/>
    </cacheField>
    <cacheField name="Column2" numFmtId="164">
      <sharedItems containsNonDate="0" containsString="0" containsBlank="1"/>
    </cacheField>
    <cacheField name="Clean Date" numFmtId="14">
      <sharedItems containsSemiMixedTypes="0" containsNonDate="0" containsDate="1" containsString="0" minDate="2024-01-01T00:00:00" maxDate="2024-12-31T00:00:00" count="123">
        <d v="2024-01-01T00:00:00"/>
        <d v="2024-01-03T00:00:00"/>
        <d v="2024-01-11T00:00:00"/>
        <d v="2024-01-13T00:00:00"/>
        <d v="2024-01-14T00:00:00"/>
        <d v="2024-01-16T00:00:00"/>
        <d v="2024-01-17T00:00:00"/>
        <d v="2024-01-20T00:00:00"/>
        <d v="2024-01-23T00:00:00"/>
        <d v="2024-01-26T00:00:00"/>
        <d v="2024-01-27T00:00:00"/>
        <d v="2024-01-29T00:00:00"/>
        <d v="2024-01-30T00:00:00"/>
        <d v="2024-02-01T00:00:00"/>
        <d v="2024-02-07T00:00:00"/>
        <d v="2024-02-09T00:00:00"/>
        <d v="2024-02-12T00:00:00"/>
        <d v="2024-02-15T00:00:00"/>
        <d v="2024-02-18T00:00:00"/>
        <d v="2024-02-27T00:00:00"/>
        <d v="2024-03-02T00:00:00"/>
        <d v="2024-03-05T00:00:00"/>
        <d v="2024-03-10T00:00:00"/>
        <d v="2024-03-12T00:00:00"/>
        <d v="2024-03-14T00:00:00"/>
        <d v="2024-03-15T00:00:00"/>
        <d v="2024-03-18T00:00:00"/>
        <d v="2024-03-19T00:00:00"/>
        <d v="2024-03-21T00:00:00"/>
        <d v="2024-03-22T00:00:00"/>
        <d v="2024-03-23T00:00:00"/>
        <d v="2024-03-26T00:00:00"/>
        <d v="2024-04-12T00:00:00"/>
        <d v="2024-04-13T00:00:00"/>
        <d v="2024-04-15T00:00:00"/>
        <d v="2024-04-18T00:00:00"/>
        <d v="2024-04-21T00:00:00"/>
        <d v="2024-04-27T00:00:00"/>
        <d v="2024-04-28T00:00:00"/>
        <d v="2024-05-01T00:00:00"/>
        <d v="2024-05-03T00:00:00"/>
        <d v="2024-05-05T00:00:00"/>
        <d v="2024-05-06T00:00:00"/>
        <d v="2024-05-07T00:00:00"/>
        <d v="2024-05-09T00:00:00"/>
        <d v="2024-05-11T00:00:00"/>
        <d v="2024-05-12T00:00:00"/>
        <d v="2024-05-16T00:00:00"/>
        <d v="2024-05-17T00:00:00"/>
        <d v="2024-05-23T00:00:00"/>
        <d v="2024-05-24T00:00:00"/>
        <d v="2024-05-27T00:00:00"/>
        <d v="2024-05-29T00:00:00"/>
        <d v="2024-06-01T00:00:00"/>
        <d v="2024-06-02T00:00:00"/>
        <d v="2024-06-04T00:00:00"/>
        <d v="2024-06-06T00:00:00"/>
        <d v="2024-06-18T00:00:00"/>
        <d v="2024-06-19T00:00:00"/>
        <d v="2024-06-22T00:00:00"/>
        <d v="2024-06-25T00:00:00"/>
        <d v="2024-06-26T00:00:00"/>
        <d v="2024-06-27T00:00:00"/>
        <d v="2024-06-29T00:00:00"/>
        <d v="2024-06-30T00:00:00"/>
        <d v="2024-07-04T00:00:00"/>
        <d v="2024-07-06T00:00:00"/>
        <d v="2024-07-14T00:00:00"/>
        <d v="2024-07-21T00:00:00"/>
        <d v="2024-07-26T00:00:00"/>
        <d v="2024-07-27T00:00:00"/>
        <d v="2024-08-02T00:00:00"/>
        <d v="2024-08-03T00:00:00"/>
        <d v="2024-08-04T00:00:00"/>
        <d v="2024-08-05T00:00:00"/>
        <d v="2024-08-07T00:00:00"/>
        <d v="2024-08-08T00:00:00"/>
        <d v="2024-08-11T00:00:00"/>
        <d v="2024-08-12T00:00:00"/>
        <d v="2024-08-13T00:00:00"/>
        <d v="2024-08-14T00:00:00"/>
        <d v="2024-08-19T00:00:00"/>
        <d v="2024-08-25T00:00:00"/>
        <d v="2024-08-26T00:00:00"/>
        <d v="2024-08-31T00:00:00"/>
        <d v="2024-09-10T00:00:00"/>
        <d v="2024-09-15T00:00:00"/>
        <d v="2024-09-17T00:00:00"/>
        <d v="2024-09-18T00:00:00"/>
        <d v="2024-09-20T00:00:00"/>
        <d v="2024-09-22T00:00:00"/>
        <d v="2024-09-24T00:00:00"/>
        <d v="2024-09-25T00:00:00"/>
        <d v="2024-09-26T00:00:00"/>
        <d v="2024-10-01T00:00:00"/>
        <d v="2024-10-02T00:00:00"/>
        <d v="2024-10-04T00:00:00"/>
        <d v="2024-10-06T00:00:00"/>
        <d v="2024-10-07T00:00:00"/>
        <d v="2024-10-08T00:00:00"/>
        <d v="2024-10-11T00:00:00"/>
        <d v="2024-10-16T00:00:00"/>
        <d v="2024-10-24T00:00:00"/>
        <d v="2024-10-25T00:00:00"/>
        <d v="2024-10-26T00:00:00"/>
        <d v="2024-10-29T00:00:00"/>
        <d v="2024-10-30T00:00:00"/>
        <d v="2024-10-31T00:00:00"/>
        <d v="2024-11-04T00:00:00"/>
        <d v="2024-11-09T00:00:00"/>
        <d v="2024-11-12T00:00:00"/>
        <d v="2024-11-13T00:00:00"/>
        <d v="2024-11-19T00:00:00"/>
        <d v="2024-11-26T00:00:00"/>
        <d v="2024-11-29T00:00:00"/>
        <d v="2024-11-30T00:00:00"/>
        <d v="2024-12-03T00:00:00"/>
        <d v="2024-12-05T00:00:00"/>
        <d v="2024-12-08T00:00:00"/>
        <d v="2024-12-11T00:00:00"/>
        <d v="2024-12-12T00:00:00"/>
        <d v="2024-12-19T00:00:00"/>
        <d v="2024-12-30T00:00:00"/>
      </sharedItems>
      <fieldGroup par="13"/>
    </cacheField>
    <cacheField name="Clean Region" numFmtId="0">
      <sharedItems count="4">
        <s v="West"/>
        <s v="South"/>
        <s v="Midwest"/>
        <s v="Northeast"/>
      </sharedItems>
    </cacheField>
    <cacheField name="Clean Product Category" numFmtId="0">
      <sharedItems count="4">
        <s v="Home Goods"/>
        <s v="Electronics"/>
        <s v="Clothing"/>
        <s v="" u="1"/>
      </sharedItems>
    </cacheField>
    <cacheField name="Clean Product Name" numFmtId="0">
      <sharedItems/>
    </cacheField>
    <cacheField name="Revenue" numFmtId="164">
      <sharedItems containsSemiMixedTypes="0" containsString="0" containsNumber="1" containsInteger="1" minValue="221" maxValue="22002"/>
    </cacheField>
    <cacheField name="Days (Clean Date)" numFmtId="0" databaseField="0">
      <fieldGroup base="7">
        <rangePr groupBy="days" startDate="2024-01-01T00:00:00" endDate="2024-12-3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1/2024"/>
        </groupItems>
      </fieldGroup>
    </cacheField>
    <cacheField name="Months (Clean Date)" numFmtId="0" databaseField="0">
      <fieldGroup base="7">
        <rangePr groupBy="months" startDate="2024-01-01T00:00:00" endDate="2024-12-31T00:00:00"/>
        <groupItems count="14">
          <s v="&lt;1/1/2024"/>
          <s v="Jan"/>
          <s v="Feb"/>
          <s v="Mar"/>
          <s v="Apr"/>
          <s v="May"/>
          <s v="Jun"/>
          <s v="Jul"/>
          <s v="Aug"/>
          <s v="Sep"/>
          <s v="Oct"/>
          <s v="Nov"/>
          <s v="Dec"/>
          <s v="&gt;12/31/2024"/>
        </groupItems>
      </fieldGroup>
    </cacheField>
  </cacheFields>
  <extLst>
    <ext xmlns:x14="http://schemas.microsoft.com/office/spreadsheetml/2009/9/main" uri="{725AE2AE-9491-48be-B2B4-4EB974FC3084}">
      <x14:pivotCacheDefinition pivotCacheId="20315574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
  <r>
    <s v="2024-01-01T00:00:00.000000000"/>
    <s v="WEST"/>
    <s v="home goods"/>
    <s v="Vacuum"/>
    <n v="15"/>
    <n v="342"/>
    <m/>
    <x v="0"/>
    <x v="0"/>
    <x v="0"/>
    <s v="Vacuum"/>
    <n v="5130"/>
  </r>
  <r>
    <s v="2024-01-03T00:00:00.000000000"/>
    <s v="WEST"/>
    <s v="Electronics"/>
    <s v="Phone"/>
    <n v="16"/>
    <n v="619"/>
    <m/>
    <x v="1"/>
    <x v="0"/>
    <x v="1"/>
    <s v="Phone"/>
    <n v="9904"/>
  </r>
  <r>
    <s v="2024-01-11T00:00:00.000000000"/>
    <s v="west "/>
    <s v="Electronics"/>
    <s v="Phone"/>
    <n v="12"/>
    <n v="1075"/>
    <m/>
    <x v="2"/>
    <x v="0"/>
    <x v="1"/>
    <s v="Phone"/>
    <n v="12900"/>
  </r>
  <r>
    <s v="2024-01-13T00:00:00.000000000"/>
    <s v="South"/>
    <s v="Electronics"/>
    <s v="Tablet"/>
    <n v="19"/>
    <n v="609"/>
    <m/>
    <x v="3"/>
    <x v="1"/>
    <x v="1"/>
    <s v="Tablet"/>
    <n v="11571"/>
  </r>
  <r>
    <s v="2024-01-14T00:00:00.000000000"/>
    <s v="Midwest"/>
    <s v="Clothing"/>
    <s v="Jeans"/>
    <n v="12"/>
    <n v="1016"/>
    <m/>
    <x v="4"/>
    <x v="2"/>
    <x v="2"/>
    <s v="Jeans"/>
    <n v="12192"/>
  </r>
  <r>
    <s v="2024-01-16T00:00:00.000000000"/>
    <s v="Midwest"/>
    <s v="Electronics"/>
    <s v="Phone"/>
    <n v="10"/>
    <n v="998"/>
    <m/>
    <x v="5"/>
    <x v="2"/>
    <x v="1"/>
    <s v="Phone"/>
    <n v="9980"/>
  </r>
  <r>
    <s v="2024-01-17T00:00:00.000000000"/>
    <s v="WEST"/>
    <s v="Electronics"/>
    <s v="Phone"/>
    <n v="19"/>
    <n v="225"/>
    <m/>
    <x v="6"/>
    <x v="0"/>
    <x v="1"/>
    <s v="Phone"/>
    <n v="4275"/>
  </r>
  <r>
    <s v="2024-01-20T00:00:00.000000000"/>
    <s v="Midwest"/>
    <s v="Electronics"/>
    <s v="Phone"/>
    <n v="8"/>
    <n v="513"/>
    <m/>
    <x v="7"/>
    <x v="2"/>
    <x v="1"/>
    <s v="Phone"/>
    <n v="4104"/>
  </r>
  <r>
    <s v="2024-01-23T00:00:00.000000000"/>
    <s v="South"/>
    <s v="Electronics"/>
    <s v="Phone"/>
    <n v="18"/>
    <n v="573"/>
    <m/>
    <x v="8"/>
    <x v="1"/>
    <x v="1"/>
    <s v="Phone"/>
    <n v="10314"/>
  </r>
  <r>
    <s v="2024-01-23T00:00:00.000000000"/>
    <s v="Midwest"/>
    <s v="Clothing"/>
    <s v="Jeans"/>
    <n v="16"/>
    <n v="228"/>
    <m/>
    <x v="8"/>
    <x v="2"/>
    <x v="2"/>
    <s v="Jeans"/>
    <n v="3648"/>
  </r>
  <r>
    <s v="2024-01-26T00:00:00.000000000"/>
    <s v="Northeast"/>
    <s v="Clothing"/>
    <s v="T-Shirt"/>
    <n v="15"/>
    <n v="555"/>
    <m/>
    <x v="9"/>
    <x v="3"/>
    <x v="2"/>
    <s v="T-Shirt"/>
    <n v="8325"/>
  </r>
  <r>
    <s v="2024-01-27T00:00:00.000000000"/>
    <s v="Midwest"/>
    <s v="home goods"/>
    <s v="Lamp"/>
    <n v="7"/>
    <n v="291"/>
    <m/>
    <x v="10"/>
    <x v="2"/>
    <x v="0"/>
    <s v="Lamp"/>
    <n v="2037"/>
  </r>
  <r>
    <s v="2024-01-29T00:00:00.000000000"/>
    <s v="Northeast"/>
    <s v="home goods"/>
    <s v="Lamp"/>
    <n v="10"/>
    <n v="1085"/>
    <m/>
    <x v="11"/>
    <x v="3"/>
    <x v="0"/>
    <s v="Lamp"/>
    <n v="10850"/>
  </r>
  <r>
    <s v="2024-01-30T00:00:00.000000000"/>
    <s v="South"/>
    <s v="Electronics"/>
    <s v="Tablet"/>
    <n v="7"/>
    <n v="156"/>
    <m/>
    <x v="12"/>
    <x v="1"/>
    <x v="1"/>
    <s v="Tablet"/>
    <n v="1092"/>
  </r>
  <r>
    <s v="2024-02-01T00:00:00.000000000"/>
    <s v="WEST"/>
    <s v="Electronics"/>
    <s v="Laptop"/>
    <n v="19"/>
    <n v="182"/>
    <m/>
    <x v="13"/>
    <x v="0"/>
    <x v="1"/>
    <s v="Laptop"/>
    <n v="3458"/>
  </r>
  <r>
    <s v="2024-02-01T00:00:00.000000000"/>
    <s v="Northeast"/>
    <s v="Clothing"/>
    <s v="Jeans"/>
    <n v="2"/>
    <n v="344"/>
    <m/>
    <x v="13"/>
    <x v="3"/>
    <x v="2"/>
    <s v="Jeans"/>
    <n v="688"/>
  </r>
  <r>
    <s v="2024-02-07T00:00:00.000000000"/>
    <s v="Northeast"/>
    <s v="Clothing"/>
    <s v="T-Shirt"/>
    <n v="3"/>
    <n v="258"/>
    <m/>
    <x v="14"/>
    <x v="3"/>
    <x v="2"/>
    <s v="T-Shirt"/>
    <n v="774"/>
  </r>
  <r>
    <s v="2024-02-09T00:00:00.000000000"/>
    <s v="WEST"/>
    <s v="Electronics"/>
    <s v="Laptop"/>
    <n v="4"/>
    <n v="1128"/>
    <m/>
    <x v="15"/>
    <x v="0"/>
    <x v="1"/>
    <s v="Laptop"/>
    <n v="4512"/>
  </r>
  <r>
    <s v="2024-02-12T00:00:00.000000000"/>
    <s v="WEST"/>
    <s v="home goods"/>
    <s v="Vacuum"/>
    <n v="8"/>
    <n v="960"/>
    <m/>
    <x v="16"/>
    <x v="0"/>
    <x v="0"/>
    <s v="Vacuum"/>
    <n v="7680"/>
  </r>
  <r>
    <s v="2024-02-15T00:00:00.000000000"/>
    <s v="WEST"/>
    <s v="Electronics"/>
    <s v="Phone"/>
    <n v="12"/>
    <n v="82"/>
    <m/>
    <x v="17"/>
    <x v="0"/>
    <x v="1"/>
    <s v="Phone"/>
    <n v="984"/>
  </r>
  <r>
    <s v="2024-02-15T00:00:00.000000000"/>
    <s v="west "/>
    <s v="Electronics"/>
    <s v="Phone"/>
    <n v="9"/>
    <n v="375"/>
    <m/>
    <x v="17"/>
    <x v="0"/>
    <x v="1"/>
    <s v="Phone"/>
    <n v="3375"/>
  </r>
  <r>
    <s v="2024-02-18T00:00:00.000000000"/>
    <s v="South"/>
    <s v="home goods"/>
    <s v="Vacuum"/>
    <n v="12"/>
    <n v="53"/>
    <m/>
    <x v="18"/>
    <x v="1"/>
    <x v="0"/>
    <s v="Vacuum"/>
    <n v="636"/>
  </r>
  <r>
    <s v="2024-02-27T00:00:00.000000000"/>
    <s v="South"/>
    <s v="home goods"/>
    <s v="Vacuum"/>
    <n v="10"/>
    <n v="47"/>
    <m/>
    <x v="19"/>
    <x v="1"/>
    <x v="0"/>
    <s v="Vacuum"/>
    <n v="470"/>
  </r>
  <r>
    <s v="2024-03-02T00:00:00.000000000"/>
    <s v="west "/>
    <s v="home goods"/>
    <s v="Lamp"/>
    <n v="6"/>
    <n v="100"/>
    <m/>
    <x v="20"/>
    <x v="0"/>
    <x v="0"/>
    <s v="Lamp"/>
    <n v="600"/>
  </r>
  <r>
    <s v="2024-03-02T00:00:00.000000000"/>
    <s v="Northeast"/>
    <s v="home goods"/>
    <s v="Vacuum"/>
    <n v="19"/>
    <n v="516"/>
    <m/>
    <x v="20"/>
    <x v="3"/>
    <x v="0"/>
    <s v="Vacuum"/>
    <n v="9804"/>
  </r>
  <r>
    <s v="2024-03-05T00:00:00.000000000"/>
    <s v="Midwest"/>
    <s v="Electronics"/>
    <s v="Tablet"/>
    <n v="9"/>
    <n v="331"/>
    <m/>
    <x v="21"/>
    <x v="2"/>
    <x v="1"/>
    <s v="Tablet"/>
    <n v="2979"/>
  </r>
  <r>
    <s v="2024-03-10T00:00:00.000000000"/>
    <s v="South"/>
    <s v="home goods"/>
    <s v="Vacuum"/>
    <n v="2"/>
    <n v="921"/>
    <m/>
    <x v="22"/>
    <x v="1"/>
    <x v="0"/>
    <s v="Vacuum"/>
    <n v="1842"/>
  </r>
  <r>
    <s v="2024-03-12T00:00:00.000000000"/>
    <s v="west "/>
    <s v="home goods"/>
    <s v="Lamp"/>
    <n v="15"/>
    <n v="195"/>
    <m/>
    <x v="23"/>
    <x v="0"/>
    <x v="0"/>
    <s v="Lamp"/>
    <n v="2925"/>
  </r>
  <r>
    <s v="2024-03-14T00:00:00.000000000"/>
    <s v="Northeast"/>
    <s v="Electronics"/>
    <s v="Tablet"/>
    <n v="5"/>
    <n v="267"/>
    <m/>
    <x v="24"/>
    <x v="3"/>
    <x v="1"/>
    <s v="Tablet"/>
    <n v="1335"/>
  </r>
  <r>
    <s v="2024-03-15T00:00:00.000000000"/>
    <s v="WEST"/>
    <s v="home goods"/>
    <s v="Vacuum"/>
    <n v="5"/>
    <n v="568"/>
    <m/>
    <x v="25"/>
    <x v="0"/>
    <x v="0"/>
    <s v="Vacuum"/>
    <n v="2840"/>
  </r>
  <r>
    <s v="2024-03-15T00:00:00.000000000"/>
    <s v="WEST"/>
    <s v="Electronics"/>
    <s v="Phone"/>
    <n v="6"/>
    <n v="580"/>
    <m/>
    <x v="25"/>
    <x v="0"/>
    <x v="1"/>
    <s v="Phone"/>
    <n v="3480"/>
  </r>
  <r>
    <s v="2024-03-18T00:00:00.000000000"/>
    <s v="WEST"/>
    <s v="Electronics"/>
    <s v="Phone"/>
    <n v="2"/>
    <n v="351"/>
    <m/>
    <x v="26"/>
    <x v="0"/>
    <x v="1"/>
    <s v="Phone"/>
    <n v="702"/>
  </r>
  <r>
    <s v="2024-03-19T00:00:00.000000000"/>
    <s v="WEST"/>
    <s v="Clothing"/>
    <s v="Jeans"/>
    <n v="15"/>
    <n v="709"/>
    <m/>
    <x v="27"/>
    <x v="0"/>
    <x v="2"/>
    <s v="Jeans"/>
    <n v="10635"/>
  </r>
  <r>
    <s v="2024-03-21T00:00:00.000000000"/>
    <s v="Northeast"/>
    <s v="home goods"/>
    <s v="Vacuum"/>
    <n v="4"/>
    <n v="1128"/>
    <m/>
    <x v="28"/>
    <x v="3"/>
    <x v="0"/>
    <s v="Vacuum"/>
    <n v="4512"/>
  </r>
  <r>
    <s v="2024-03-22T00:00:00.000000000"/>
    <s v="WEST"/>
    <s v="home goods"/>
    <s v="Vacuum"/>
    <n v="3"/>
    <n v="96"/>
    <m/>
    <x v="29"/>
    <x v="0"/>
    <x v="0"/>
    <s v="Vacuum"/>
    <n v="288"/>
  </r>
  <r>
    <s v="2024-03-23T00:00:00.000000000"/>
    <s v="Midwest"/>
    <s v="Electronics"/>
    <s v="Laptop"/>
    <n v="18"/>
    <n v="716"/>
    <m/>
    <x v="30"/>
    <x v="2"/>
    <x v="1"/>
    <s v="Laptop"/>
    <n v="12888"/>
  </r>
  <r>
    <s v="2024-03-26T00:00:00.000000000"/>
    <s v="WEST"/>
    <s v="Clothing"/>
    <s v="Jeans"/>
    <n v="18"/>
    <n v="843"/>
    <m/>
    <x v="31"/>
    <x v="0"/>
    <x v="2"/>
    <s v="Jeans"/>
    <n v="15174"/>
  </r>
  <r>
    <s v="2024-04-12T00:00:00.000000000"/>
    <s v="Northeast"/>
    <s v="home goods"/>
    <s v="Vacuum"/>
    <n v="5"/>
    <n v="536"/>
    <m/>
    <x v="32"/>
    <x v="3"/>
    <x v="0"/>
    <s v="Vacuum"/>
    <n v="2680"/>
  </r>
  <r>
    <s v="2024-04-12T00:00:00.000000000"/>
    <s v="WEST"/>
    <s v="home goods"/>
    <s v="Vacuum"/>
    <n v="19"/>
    <n v="1072"/>
    <m/>
    <x v="32"/>
    <x v="0"/>
    <x v="0"/>
    <s v="Vacuum"/>
    <n v="20368"/>
  </r>
  <r>
    <s v="2024-04-13T00:00:00.000000000"/>
    <s v="WEST"/>
    <s v="Electronics"/>
    <s v="Tablet"/>
    <n v="12"/>
    <n v="917"/>
    <m/>
    <x v="33"/>
    <x v="0"/>
    <x v="1"/>
    <s v="Tablet"/>
    <n v="11004"/>
  </r>
  <r>
    <s v="2024-04-15T00:00:00.000000000"/>
    <s v="WEST"/>
    <s v="home goods"/>
    <s v="Laptop"/>
    <n v="19"/>
    <n v="136"/>
    <m/>
    <x v="34"/>
    <x v="0"/>
    <x v="0"/>
    <s v="Laptop"/>
    <n v="2584"/>
  </r>
  <r>
    <s v="2024-04-15T00:00:00.000000000"/>
    <s v="WEST"/>
    <s v="Clothing"/>
    <s v="T-Shirt"/>
    <n v="6"/>
    <n v="538"/>
    <m/>
    <x v="34"/>
    <x v="0"/>
    <x v="2"/>
    <s v="T-Shirt"/>
    <n v="3228"/>
  </r>
  <r>
    <s v="2024-04-18T00:00:00.000000000"/>
    <s v="WEST"/>
    <s v="Electronics"/>
    <s v="Tablet"/>
    <n v="5"/>
    <n v="474"/>
    <m/>
    <x v="35"/>
    <x v="0"/>
    <x v="1"/>
    <s v="Tablet"/>
    <n v="2370"/>
  </r>
  <r>
    <s v="2024-04-21T00:00:00.000000000"/>
    <s v="Northeast"/>
    <s v="home goods"/>
    <s v="Vacuum"/>
    <n v="16"/>
    <n v="900"/>
    <m/>
    <x v="36"/>
    <x v="3"/>
    <x v="0"/>
    <s v="Vacuum"/>
    <n v="14400"/>
  </r>
  <r>
    <s v="2024-04-27T00:00:00.000000000"/>
    <s v="Northeast"/>
    <s v="home goods"/>
    <s v="Vacuum"/>
    <n v="13"/>
    <n v="732"/>
    <m/>
    <x v="37"/>
    <x v="3"/>
    <x v="0"/>
    <s v="Vacuum"/>
    <n v="9516"/>
  </r>
  <r>
    <s v="2024-04-27T00:00:00.000000000"/>
    <s v="South"/>
    <s v="Clothing"/>
    <s v="Jeans"/>
    <n v="2"/>
    <n v="1126"/>
    <m/>
    <x v="37"/>
    <x v="1"/>
    <x v="2"/>
    <s v="Jeans"/>
    <n v="2252"/>
  </r>
  <r>
    <s v="2024-04-28T00:00:00.000000000"/>
    <s v="Midwest"/>
    <s v="home goods"/>
    <s v="Laptop"/>
    <n v="7"/>
    <n v="741"/>
    <m/>
    <x v="38"/>
    <x v="2"/>
    <x v="0"/>
    <s v="Laptop"/>
    <n v="5187"/>
  </r>
  <r>
    <s v="2024-05-01T00:00:00.000000000"/>
    <s v="WEST"/>
    <s v="home goods"/>
    <s v="Lamp"/>
    <n v="5"/>
    <n v="279"/>
    <m/>
    <x v="39"/>
    <x v="0"/>
    <x v="0"/>
    <s v="Lamp"/>
    <n v="1395"/>
  </r>
  <r>
    <s v="2024-05-03T00:00:00.000000000"/>
    <s v="Northeast"/>
    <s v="Clothing"/>
    <s v="Jeans"/>
    <n v="18"/>
    <n v="280"/>
    <m/>
    <x v="40"/>
    <x v="3"/>
    <x v="2"/>
    <s v="Jeans"/>
    <n v="5040"/>
  </r>
  <r>
    <s v="2024-05-05T00:00:00.000000000"/>
    <s v="Midwest"/>
    <s v="home goods"/>
    <s v="Lamp"/>
    <n v="13"/>
    <n v="447"/>
    <m/>
    <x v="41"/>
    <x v="2"/>
    <x v="0"/>
    <s v="Lamp"/>
    <n v="5811"/>
  </r>
  <r>
    <s v="2024-05-05T00:00:00.000000000"/>
    <s v="WEST"/>
    <s v="Electronics"/>
    <s v="Laptop"/>
    <n v="16"/>
    <n v="1185"/>
    <m/>
    <x v="41"/>
    <x v="0"/>
    <x v="1"/>
    <s v="Laptop"/>
    <n v="18960"/>
  </r>
  <r>
    <s v="2024-05-06T00:00:00.000000000"/>
    <s v="Midwest"/>
    <s v="Electronics"/>
    <s v="Tablet"/>
    <n v="18"/>
    <n v="796"/>
    <m/>
    <x v="42"/>
    <x v="2"/>
    <x v="1"/>
    <s v="Tablet"/>
    <n v="14328"/>
  </r>
  <r>
    <s v="2024-05-07T00:00:00.000000000"/>
    <s v="WEST"/>
    <s v="Clothing"/>
    <s v="T-Shirt"/>
    <n v="9"/>
    <n v="1023"/>
    <m/>
    <x v="43"/>
    <x v="0"/>
    <x v="2"/>
    <s v="T-Shirt"/>
    <n v="9207"/>
  </r>
  <r>
    <s v="2024-05-07T00:00:00.000000000"/>
    <s v="Northeast"/>
    <s v="Clothing"/>
    <s v="T-Shirt"/>
    <n v="14"/>
    <n v="746"/>
    <m/>
    <x v="43"/>
    <x v="3"/>
    <x v="2"/>
    <s v="T-Shirt"/>
    <n v="10444"/>
  </r>
  <r>
    <s v="2024-05-09T00:00:00.000000000"/>
    <s v="WEST"/>
    <s v="Electronics"/>
    <s v="Phone"/>
    <n v="11"/>
    <n v="964"/>
    <m/>
    <x v="44"/>
    <x v="0"/>
    <x v="1"/>
    <s v="Phone"/>
    <n v="10604"/>
  </r>
  <r>
    <s v="2024-05-11T00:00:00.000000000"/>
    <s v="Northeast"/>
    <s v="home goods"/>
    <s v="Vacuum"/>
    <n v="11"/>
    <n v="342"/>
    <m/>
    <x v="45"/>
    <x v="3"/>
    <x v="0"/>
    <s v="Vacuum"/>
    <n v="3762"/>
  </r>
  <r>
    <s v="2024-05-12T00:00:00.000000000"/>
    <s v="Northeast"/>
    <s v="home goods"/>
    <s v="Vacuum"/>
    <n v="18"/>
    <n v="1040"/>
    <m/>
    <x v="46"/>
    <x v="3"/>
    <x v="0"/>
    <s v="Vacuum"/>
    <n v="18720"/>
  </r>
  <r>
    <s v="2024-05-16T00:00:00.000000000"/>
    <s v="Midwest"/>
    <s v="Electronics"/>
    <s v="Laptop"/>
    <n v="17"/>
    <n v="689"/>
    <m/>
    <x v="47"/>
    <x v="2"/>
    <x v="1"/>
    <s v="Laptop"/>
    <n v="11713"/>
  </r>
  <r>
    <s v="2024-05-17T00:00:00.000000000"/>
    <s v="Northeast"/>
    <s v="Electronics"/>
    <s v="Phone"/>
    <n v="10"/>
    <n v="502"/>
    <m/>
    <x v="48"/>
    <x v="3"/>
    <x v="1"/>
    <s v="Phone"/>
    <n v="5020"/>
  </r>
  <r>
    <s v="2024-05-23T00:00:00.000000000"/>
    <s v="WEST"/>
    <s v="Electronics"/>
    <s v="Phone"/>
    <n v="7"/>
    <n v="67"/>
    <m/>
    <x v="49"/>
    <x v="0"/>
    <x v="1"/>
    <s v="Phone"/>
    <n v="469"/>
  </r>
  <r>
    <s v="2024-05-24T00:00:00.000000000"/>
    <s v="South"/>
    <s v="home goods"/>
    <s v="Lamp"/>
    <n v="7"/>
    <n v="454"/>
    <m/>
    <x v="50"/>
    <x v="1"/>
    <x v="0"/>
    <s v="Lamp"/>
    <n v="3178"/>
  </r>
  <r>
    <s v="2024-05-24T00:00:00.000000000"/>
    <s v="WEST"/>
    <s v="home goods"/>
    <s v="Vacuum"/>
    <n v="19"/>
    <n v="735"/>
    <m/>
    <x v="50"/>
    <x v="0"/>
    <x v="0"/>
    <s v="Vacuum"/>
    <n v="13965"/>
  </r>
  <r>
    <s v="2024-05-27T00:00:00.000000000"/>
    <s v="Northeast"/>
    <s v="Electronics"/>
    <s v="Tablet"/>
    <n v="15"/>
    <n v="118"/>
    <m/>
    <x v="51"/>
    <x v="3"/>
    <x v="1"/>
    <s v="Tablet"/>
    <n v="1770"/>
  </r>
  <r>
    <s v="2024-05-29T00:00:00.000000000"/>
    <s v="South"/>
    <s v="Electronics"/>
    <s v="Phone"/>
    <n v="2"/>
    <n v="1063"/>
    <m/>
    <x v="52"/>
    <x v="1"/>
    <x v="1"/>
    <s v="Phone"/>
    <n v="2126"/>
  </r>
  <r>
    <s v="2024-06-01T00:00:00.000000000"/>
    <s v="WEST"/>
    <s v="Clothing"/>
    <s v="Jeans"/>
    <n v="6"/>
    <n v="1099"/>
    <m/>
    <x v="53"/>
    <x v="0"/>
    <x v="2"/>
    <s v="Jeans"/>
    <n v="6594"/>
  </r>
  <r>
    <s v="2024-06-02T00:00:00.000000000"/>
    <s v="South"/>
    <s v="Electronics"/>
    <s v="Phone"/>
    <n v="10"/>
    <n v="411"/>
    <m/>
    <x v="54"/>
    <x v="1"/>
    <x v="1"/>
    <s v="Phone"/>
    <n v="4110"/>
  </r>
  <r>
    <s v="2024-06-04T00:00:00.000000000"/>
    <s v="WEST"/>
    <s v="Electronics"/>
    <s v="Phone"/>
    <n v="11"/>
    <n v="668"/>
    <m/>
    <x v="55"/>
    <x v="0"/>
    <x v="1"/>
    <s v="Phone"/>
    <n v="7348"/>
  </r>
  <r>
    <s v="2024-06-06T00:00:00.000000000"/>
    <s v="west "/>
    <s v="home goods"/>
    <s v="Lamp"/>
    <n v="13"/>
    <n v="117"/>
    <m/>
    <x v="56"/>
    <x v="0"/>
    <x v="0"/>
    <s v="Lamp"/>
    <n v="1521"/>
  </r>
  <r>
    <s v="2024-06-18T00:00:00.000000000"/>
    <s v="WEST"/>
    <s v="Clothing"/>
    <s v="Jeans"/>
    <n v="16"/>
    <n v="885"/>
    <m/>
    <x v="57"/>
    <x v="0"/>
    <x v="2"/>
    <s v="Jeans"/>
    <n v="14160"/>
  </r>
  <r>
    <s v="2024-06-18T00:00:00.000000000"/>
    <s v="South"/>
    <s v="Clothing"/>
    <s v="T-Shirt"/>
    <n v="4"/>
    <n v="611"/>
    <m/>
    <x v="57"/>
    <x v="1"/>
    <x v="2"/>
    <s v="T-Shirt"/>
    <n v="2444"/>
  </r>
  <r>
    <s v="2024-06-19T00:00:00.000000000"/>
    <s v="Midwest"/>
    <s v="home goods"/>
    <s v="Vacuum"/>
    <n v="5"/>
    <n v="201"/>
    <m/>
    <x v="58"/>
    <x v="2"/>
    <x v="0"/>
    <s v="Vacuum"/>
    <n v="1005"/>
  </r>
  <r>
    <s v="2024-06-19T00:00:00.000000000"/>
    <s v="Northeast"/>
    <s v="home goods"/>
    <s v="Vacuum"/>
    <n v="19"/>
    <n v="833"/>
    <m/>
    <x v="58"/>
    <x v="3"/>
    <x v="0"/>
    <s v="Vacuum"/>
    <n v="15827"/>
  </r>
  <r>
    <s v="2024-06-22T00:00:00.000000000"/>
    <s v="Northeast"/>
    <s v="Clothing"/>
    <s v="Jeans"/>
    <n v="6"/>
    <n v="801"/>
    <m/>
    <x v="59"/>
    <x v="3"/>
    <x v="2"/>
    <s v="Jeans"/>
    <n v="4806"/>
  </r>
  <r>
    <s v="2024-06-25T00:00:00.000000000"/>
    <s v="Northeast"/>
    <s v="Clothing"/>
    <s v="T-Shirt"/>
    <n v="11"/>
    <n v="974"/>
    <m/>
    <x v="60"/>
    <x v="3"/>
    <x v="2"/>
    <s v="T-Shirt"/>
    <n v="10714"/>
  </r>
  <r>
    <s v="2024-06-25T00:00:00.000000000"/>
    <s v="Northeast"/>
    <s v="Electronics"/>
    <s v="Laptop"/>
    <n v="13"/>
    <n v="737"/>
    <m/>
    <x v="60"/>
    <x v="3"/>
    <x v="1"/>
    <s v="Laptop"/>
    <n v="9581"/>
  </r>
  <r>
    <s v="2024-06-26T00:00:00.000000000"/>
    <s v="Northeast"/>
    <s v="Electronics"/>
    <s v="Laptop"/>
    <n v="4"/>
    <n v="270"/>
    <m/>
    <x v="61"/>
    <x v="3"/>
    <x v="1"/>
    <s v="Laptop"/>
    <n v="1080"/>
  </r>
  <r>
    <s v="2024-06-27T00:00:00.000000000"/>
    <s v="Midwest"/>
    <s v="home goods"/>
    <s v="Lamp"/>
    <n v="11"/>
    <n v="290"/>
    <m/>
    <x v="62"/>
    <x v="2"/>
    <x v="0"/>
    <s v="Lamp"/>
    <n v="3190"/>
  </r>
  <r>
    <s v="2024-06-29T00:00:00.000000000"/>
    <s v="Midwest"/>
    <s v="Electronics"/>
    <s v="Tablet"/>
    <n v="12"/>
    <n v="94"/>
    <m/>
    <x v="63"/>
    <x v="2"/>
    <x v="1"/>
    <s v="Tablet"/>
    <n v="1128"/>
  </r>
  <r>
    <s v="2024-06-30T00:00:00.000000000"/>
    <s v="west "/>
    <s v="Clothing"/>
    <s v="T-Shirt"/>
    <n v="10"/>
    <n v="296"/>
    <m/>
    <x v="64"/>
    <x v="0"/>
    <x v="2"/>
    <s v="T-Shirt"/>
    <n v="2960"/>
  </r>
  <r>
    <s v="2024-07-04T00:00:00.000000000"/>
    <s v="WEST"/>
    <s v="home goods"/>
    <s v="Lamp"/>
    <n v="1"/>
    <n v="421"/>
    <m/>
    <x v="65"/>
    <x v="0"/>
    <x v="0"/>
    <s v="Lamp"/>
    <n v="421"/>
  </r>
  <r>
    <s v="2024-07-06T00:00:00.000000000"/>
    <s v="WEST"/>
    <s v="Clothing"/>
    <s v="T-Shirt"/>
    <n v="13"/>
    <n v="621"/>
    <m/>
    <x v="66"/>
    <x v="0"/>
    <x v="2"/>
    <s v="T-Shirt"/>
    <n v="8073"/>
  </r>
  <r>
    <s v="2024-07-14T00:00:00.000000000"/>
    <s v="WEST"/>
    <s v="home goods"/>
    <s v="Laptop"/>
    <n v="17"/>
    <n v="960"/>
    <m/>
    <x v="67"/>
    <x v="0"/>
    <x v="0"/>
    <s v="Laptop"/>
    <n v="16320"/>
  </r>
  <r>
    <s v="2024-07-21T00:00:00.000000000"/>
    <s v="WEST"/>
    <s v="Clothing"/>
    <s v="Jeans"/>
    <n v="14"/>
    <n v="1134"/>
    <m/>
    <x v="68"/>
    <x v="0"/>
    <x v="2"/>
    <s v="Jeans"/>
    <n v="15876"/>
  </r>
  <r>
    <s v="2024-07-21T00:00:00.000000000"/>
    <s v="Midwest"/>
    <s v="Electronics"/>
    <s v="Phone"/>
    <n v="12"/>
    <n v="93"/>
    <m/>
    <x v="68"/>
    <x v="2"/>
    <x v="1"/>
    <s v="Phone"/>
    <n v="1116"/>
  </r>
  <r>
    <s v="2024-07-21T00:00:00.000000000"/>
    <s v="Northeast"/>
    <s v="Clothing"/>
    <s v="Jeans"/>
    <n v="11"/>
    <n v="121"/>
    <m/>
    <x v="68"/>
    <x v="3"/>
    <x v="2"/>
    <s v="Jeans"/>
    <n v="1331"/>
  </r>
  <r>
    <s v="2024-07-26T00:00:00.000000000"/>
    <s v="WEST"/>
    <s v="Electronics"/>
    <s v="Phone"/>
    <n v="8"/>
    <n v="76"/>
    <m/>
    <x v="69"/>
    <x v="0"/>
    <x v="1"/>
    <s v="Phone"/>
    <n v="608"/>
  </r>
  <r>
    <s v="2024-07-26T00:00:00.000000000"/>
    <s v="WEST"/>
    <s v="Clothing"/>
    <s v="Jeans"/>
    <n v="18"/>
    <n v="160"/>
    <m/>
    <x v="69"/>
    <x v="0"/>
    <x v="2"/>
    <s v="Jeans"/>
    <n v="2880"/>
  </r>
  <r>
    <s v="2024-07-26T00:00:00.000000000"/>
    <s v="South"/>
    <s v="home goods"/>
    <s v="Lamp"/>
    <n v="11"/>
    <n v="213"/>
    <m/>
    <x v="69"/>
    <x v="1"/>
    <x v="0"/>
    <s v="Lamp"/>
    <n v="2343"/>
  </r>
  <r>
    <s v="2024-07-27T00:00:00.000000000"/>
    <s v="South"/>
    <s v="Clothing"/>
    <s v="T-Shirt"/>
    <n v="3"/>
    <n v="464"/>
    <m/>
    <x v="70"/>
    <x v="1"/>
    <x v="2"/>
    <s v="T-Shirt"/>
    <n v="1392"/>
  </r>
  <r>
    <s v="2024-08-02T00:00:00.000000000"/>
    <s v="Northeast"/>
    <s v="home goods"/>
    <s v="Lamp"/>
    <n v="15"/>
    <n v="28"/>
    <m/>
    <x v="71"/>
    <x v="3"/>
    <x v="0"/>
    <s v="Lamp"/>
    <n v="420"/>
  </r>
  <r>
    <s v="2024-08-03T00:00:00.000000000"/>
    <s v="Midwest"/>
    <s v="Electronics"/>
    <s v="Tablet"/>
    <n v="19"/>
    <n v="709"/>
    <m/>
    <x v="72"/>
    <x v="2"/>
    <x v="1"/>
    <s v="Tablet"/>
    <n v="13471"/>
  </r>
  <r>
    <s v="2024-08-04T00:00:00.000000000"/>
    <s v="Northeast"/>
    <s v="home goods"/>
    <s v="Lamp"/>
    <n v="19"/>
    <n v="530"/>
    <m/>
    <x v="73"/>
    <x v="3"/>
    <x v="0"/>
    <s v="Lamp"/>
    <n v="10070"/>
  </r>
  <r>
    <s v="2024-08-05T00:00:00.000000000"/>
    <s v="Midwest"/>
    <s v="Clothing"/>
    <s v="T-Shirt"/>
    <n v="2"/>
    <n v="668"/>
    <m/>
    <x v="74"/>
    <x v="2"/>
    <x v="2"/>
    <s v="T-Shirt"/>
    <n v="1336"/>
  </r>
  <r>
    <s v="2024-08-07T00:00:00.000000000"/>
    <s v="WEST"/>
    <s v="home goods"/>
    <s v="Vacuum"/>
    <n v="3"/>
    <n v="256"/>
    <m/>
    <x v="75"/>
    <x v="0"/>
    <x v="0"/>
    <s v="Vacuum"/>
    <n v="768"/>
  </r>
  <r>
    <s v="2024-08-08T00:00:00.000000000"/>
    <s v="WEST"/>
    <s v="Clothing"/>
    <s v="Jeans"/>
    <n v="13"/>
    <n v="884"/>
    <m/>
    <x v="76"/>
    <x v="0"/>
    <x v="2"/>
    <s v="Jeans"/>
    <n v="11492"/>
  </r>
  <r>
    <s v="2024-08-11T00:00:00.000000000"/>
    <s v="Midwest"/>
    <s v="Clothing"/>
    <s v="Jeans"/>
    <n v="5"/>
    <n v="383"/>
    <m/>
    <x v="77"/>
    <x v="2"/>
    <x v="2"/>
    <s v="Jeans"/>
    <n v="1915"/>
  </r>
  <r>
    <s v="2024-08-12T00:00:00.000000000"/>
    <s v="Midwest"/>
    <s v="Clothing"/>
    <s v="Jeans"/>
    <n v="7"/>
    <n v="532"/>
    <m/>
    <x v="78"/>
    <x v="2"/>
    <x v="2"/>
    <s v="Jeans"/>
    <n v="3724"/>
  </r>
  <r>
    <s v="2024-08-13T00:00:00.000000000"/>
    <s v="South"/>
    <s v="Clothing"/>
    <s v="T-Shirt"/>
    <n v="12"/>
    <n v="1042"/>
    <m/>
    <x v="79"/>
    <x v="1"/>
    <x v="2"/>
    <s v="T-Shirt"/>
    <n v="12504"/>
  </r>
  <r>
    <s v="2024-08-14T00:00:00.000000000"/>
    <s v="WEST"/>
    <s v="Clothing"/>
    <s v="T-Shirt"/>
    <n v="8"/>
    <n v="644"/>
    <m/>
    <x v="80"/>
    <x v="0"/>
    <x v="2"/>
    <s v="T-Shirt"/>
    <n v="5152"/>
  </r>
  <r>
    <s v="2024-08-19T00:00:00.000000000"/>
    <s v="Midwest"/>
    <s v="Electronics"/>
    <s v="Tablet"/>
    <n v="3"/>
    <n v="559"/>
    <m/>
    <x v="81"/>
    <x v="2"/>
    <x v="1"/>
    <s v="Tablet"/>
    <n v="1677"/>
  </r>
  <r>
    <s v="2024-08-25T00:00:00.000000000"/>
    <s v="South"/>
    <s v="home goods"/>
    <s v="Vacuum"/>
    <n v="4"/>
    <n v="666"/>
    <m/>
    <x v="82"/>
    <x v="1"/>
    <x v="0"/>
    <s v="Vacuum"/>
    <n v="2664"/>
  </r>
  <r>
    <s v="2024-08-25T00:00:00.000000000"/>
    <s v="west "/>
    <s v="home goods"/>
    <s v="Lamp"/>
    <n v="16"/>
    <n v="370"/>
    <m/>
    <x v="82"/>
    <x v="0"/>
    <x v="0"/>
    <s v="Lamp"/>
    <n v="5920"/>
  </r>
  <r>
    <s v="2024-08-26T00:00:00.000000000"/>
    <s v="Northeast"/>
    <s v="Electronics"/>
    <s v="Tablet"/>
    <n v="17"/>
    <n v="514"/>
    <m/>
    <x v="83"/>
    <x v="3"/>
    <x v="1"/>
    <s v="Tablet"/>
    <n v="8738"/>
  </r>
  <r>
    <s v="2024-08-31T00:00:00.000000000"/>
    <s v="South"/>
    <s v="Clothing"/>
    <s v="T-Shirt"/>
    <n v="19"/>
    <n v="548"/>
    <m/>
    <x v="84"/>
    <x v="1"/>
    <x v="2"/>
    <s v="T-Shirt"/>
    <n v="10412"/>
  </r>
  <r>
    <s v="2024-09-10T00:00:00.000000000"/>
    <s v="west "/>
    <s v="Electronics"/>
    <s v="Lamp"/>
    <n v="16"/>
    <n v="153"/>
    <m/>
    <x v="85"/>
    <x v="0"/>
    <x v="1"/>
    <s v="Lamp"/>
    <n v="2448"/>
  </r>
  <r>
    <s v="2024-09-15T00:00:00.000000000"/>
    <s v="Northeast"/>
    <s v="Clothing"/>
    <s v="Jeans"/>
    <n v="14"/>
    <n v="69"/>
    <m/>
    <x v="86"/>
    <x v="3"/>
    <x v="2"/>
    <s v="Jeans"/>
    <n v="966"/>
  </r>
  <r>
    <s v="2024-09-17T00:00:00.000000000"/>
    <s v="Northeast"/>
    <s v="home goods"/>
    <s v="Laptop"/>
    <n v="13"/>
    <n v="312"/>
    <m/>
    <x v="87"/>
    <x v="3"/>
    <x v="0"/>
    <s v="Laptop"/>
    <n v="4056"/>
  </r>
  <r>
    <s v="2024-09-17T00:00:00.000000000"/>
    <s v="Northeast"/>
    <s v="Electronics"/>
    <s v="Tablet"/>
    <n v="12"/>
    <n v="614"/>
    <m/>
    <x v="87"/>
    <x v="3"/>
    <x v="1"/>
    <s v="Tablet"/>
    <n v="7368"/>
  </r>
  <r>
    <s v="2024-09-18T00:00:00.000000000"/>
    <s v="Northeast"/>
    <s v="Electronics"/>
    <s v="Phone"/>
    <n v="2"/>
    <n v="1059"/>
    <m/>
    <x v="88"/>
    <x v="3"/>
    <x v="1"/>
    <s v="Phone"/>
    <n v="2118"/>
  </r>
  <r>
    <s v="2024-09-20T00:00:00.000000000"/>
    <s v="South"/>
    <s v="Electronics"/>
    <s v="Laptop"/>
    <n v="4"/>
    <n v="1034"/>
    <m/>
    <x v="89"/>
    <x v="1"/>
    <x v="1"/>
    <s v="Laptop"/>
    <n v="4136"/>
  </r>
  <r>
    <s v="2024-09-22T00:00:00.000000000"/>
    <s v="Midwest"/>
    <s v="home goods"/>
    <s v="Laptop"/>
    <n v="7"/>
    <n v="916"/>
    <m/>
    <x v="90"/>
    <x v="2"/>
    <x v="0"/>
    <s v="Laptop"/>
    <n v="6412"/>
  </r>
  <r>
    <s v="2024-09-22T00:00:00.000000000"/>
    <s v="WEST"/>
    <s v="Clothing"/>
    <s v="T-Shirt"/>
    <n v="18"/>
    <n v="1029"/>
    <m/>
    <x v="90"/>
    <x v="0"/>
    <x v="2"/>
    <s v="T-Shirt"/>
    <n v="18522"/>
  </r>
  <r>
    <s v="2024-09-24T00:00:00.000000000"/>
    <s v="Northeast"/>
    <s v="home goods"/>
    <s v="Vacuum"/>
    <n v="9"/>
    <n v="1028"/>
    <m/>
    <x v="91"/>
    <x v="3"/>
    <x v="0"/>
    <s v="Vacuum"/>
    <n v="9252"/>
  </r>
  <r>
    <s v="2024-09-25T00:00:00.000000000"/>
    <s v="WEST"/>
    <s v="Electronics"/>
    <s v="Laptop"/>
    <n v="2"/>
    <n v="517"/>
    <m/>
    <x v="92"/>
    <x v="0"/>
    <x v="1"/>
    <s v="Laptop"/>
    <n v="1034"/>
  </r>
  <r>
    <s v="2024-09-26T00:00:00.000000000"/>
    <s v="Northeast"/>
    <s v="home goods"/>
    <s v="Vacuum"/>
    <n v="12"/>
    <n v="39"/>
    <m/>
    <x v="93"/>
    <x v="3"/>
    <x v="0"/>
    <s v="Vacuum"/>
    <n v="468"/>
  </r>
  <r>
    <s v="2024-10-01T00:00:00.000000000"/>
    <s v="Northeast"/>
    <s v="Electronics"/>
    <s v="Phone"/>
    <n v="13"/>
    <n v="441"/>
    <m/>
    <x v="94"/>
    <x v="3"/>
    <x v="1"/>
    <s v="Phone"/>
    <n v="5733"/>
  </r>
  <r>
    <s v="2024-10-02T00:00:00.000000000"/>
    <s v="Northeast"/>
    <s v="Electronics"/>
    <s v="Laptop"/>
    <n v="7"/>
    <n v="81"/>
    <m/>
    <x v="95"/>
    <x v="3"/>
    <x v="1"/>
    <s v="Laptop"/>
    <n v="567"/>
  </r>
  <r>
    <s v="2024-10-04T00:00:00.000000000"/>
    <s v="WEST"/>
    <s v="Clothing"/>
    <s v="Jeans"/>
    <n v="13"/>
    <n v="193"/>
    <m/>
    <x v="96"/>
    <x v="0"/>
    <x v="2"/>
    <s v="Jeans"/>
    <n v="2509"/>
  </r>
  <r>
    <s v="2024-10-06T00:00:00.000000000"/>
    <s v="WEST"/>
    <s v="Clothing"/>
    <s v="T-Shirt"/>
    <n v="8"/>
    <n v="1195"/>
    <m/>
    <x v="97"/>
    <x v="0"/>
    <x v="2"/>
    <s v="T-Shirt"/>
    <n v="9560"/>
  </r>
  <r>
    <s v="2024-10-07T00:00:00.000000000"/>
    <s v="WEST"/>
    <s v="home goods"/>
    <s v="Lamp"/>
    <n v="19"/>
    <n v="765"/>
    <m/>
    <x v="98"/>
    <x v="0"/>
    <x v="0"/>
    <s v="Lamp"/>
    <n v="14535"/>
  </r>
  <r>
    <s v="2024-10-08T00:00:00.000000000"/>
    <s v="Northeast"/>
    <s v="Clothing"/>
    <s v="T-Shirt"/>
    <n v="12"/>
    <n v="939"/>
    <m/>
    <x v="99"/>
    <x v="3"/>
    <x v="2"/>
    <s v="T-Shirt"/>
    <n v="11268"/>
  </r>
  <r>
    <s v="2024-10-11T00:00:00.000000000"/>
    <s v="Northeast"/>
    <s v="home goods"/>
    <s v="Lamp"/>
    <n v="2"/>
    <n v="624"/>
    <m/>
    <x v="100"/>
    <x v="3"/>
    <x v="0"/>
    <s v="Lamp"/>
    <n v="1248"/>
  </r>
  <r>
    <s v="2024-10-16T00:00:00.000000000"/>
    <s v="South"/>
    <s v="home goods"/>
    <s v="Lamp"/>
    <n v="15"/>
    <n v="705"/>
    <m/>
    <x v="101"/>
    <x v="1"/>
    <x v="0"/>
    <s v="Lamp"/>
    <n v="10575"/>
  </r>
  <r>
    <s v="2024-10-24T00:00:00.000000000"/>
    <s v="Midwest"/>
    <s v="home goods"/>
    <s v="Vacuum"/>
    <n v="7"/>
    <n v="1011"/>
    <m/>
    <x v="102"/>
    <x v="2"/>
    <x v="0"/>
    <s v="Vacuum"/>
    <n v="7077"/>
  </r>
  <r>
    <s v="2024-10-25T00:00:00.000000000"/>
    <s v="WEST"/>
    <s v="Clothing"/>
    <s v="Jeans"/>
    <n v="11"/>
    <n v="1041"/>
    <m/>
    <x v="103"/>
    <x v="0"/>
    <x v="2"/>
    <s v="Jeans"/>
    <n v="11451"/>
  </r>
  <r>
    <s v="2024-10-26T00:00:00.000000000"/>
    <s v="west "/>
    <s v="Electronics"/>
    <s v="Tablet"/>
    <n v="9"/>
    <n v="459"/>
    <m/>
    <x v="104"/>
    <x v="0"/>
    <x v="1"/>
    <s v="Tablet"/>
    <n v="4131"/>
  </r>
  <r>
    <s v="2024-10-29T00:00:00.000000000"/>
    <s v="South"/>
    <s v="Clothing"/>
    <s v="T-Shirt"/>
    <n v="9"/>
    <n v="992"/>
    <m/>
    <x v="105"/>
    <x v="1"/>
    <x v="2"/>
    <s v="T-Shirt"/>
    <n v="8928"/>
  </r>
  <r>
    <s v="2024-10-29T00:00:00.000000000"/>
    <s v="Northeast"/>
    <s v="Clothing"/>
    <s v="T-Shirt"/>
    <n v="1"/>
    <n v="882"/>
    <m/>
    <x v="105"/>
    <x v="3"/>
    <x v="2"/>
    <s v="T-Shirt"/>
    <n v="882"/>
  </r>
  <r>
    <s v="2024-10-30T00:00:00.000000000"/>
    <s v="South"/>
    <s v="Electronics"/>
    <s v="Laptop"/>
    <n v="12"/>
    <n v="947"/>
    <m/>
    <x v="106"/>
    <x v="1"/>
    <x v="1"/>
    <s v="Laptop"/>
    <n v="11364"/>
  </r>
  <r>
    <s v="2024-10-31T00:00:00.000000000"/>
    <s v="Midwest"/>
    <s v="home goods"/>
    <s v="Vacuum"/>
    <n v="13"/>
    <n v="589"/>
    <m/>
    <x v="107"/>
    <x v="2"/>
    <x v="0"/>
    <s v="Vacuum"/>
    <n v="7657"/>
  </r>
  <r>
    <s v="2024-10-31T00:00:00.000000000"/>
    <s v="South"/>
    <s v="home goods"/>
    <s v="Vacuum"/>
    <n v="3"/>
    <n v="1112"/>
    <m/>
    <x v="107"/>
    <x v="1"/>
    <x v="0"/>
    <s v="Vacuum"/>
    <n v="3336"/>
  </r>
  <r>
    <s v="2024-11-04T00:00:00.000000000"/>
    <s v="South"/>
    <s v="Clothing"/>
    <s v="T-Shirt"/>
    <n v="16"/>
    <n v="1017"/>
    <m/>
    <x v="108"/>
    <x v="1"/>
    <x v="2"/>
    <s v="T-Shirt"/>
    <n v="16272"/>
  </r>
  <r>
    <s v="2024-11-09T00:00:00.000000000"/>
    <s v="Midwest"/>
    <s v="Electronics"/>
    <s v="Phone"/>
    <n v="4"/>
    <n v="791"/>
    <m/>
    <x v="109"/>
    <x v="2"/>
    <x v="1"/>
    <s v="Phone"/>
    <n v="3164"/>
  </r>
  <r>
    <s v="2024-11-12T00:00:00.000000000"/>
    <s v="Northeast"/>
    <s v="Clothing"/>
    <s v="T-Shirt"/>
    <n v="10"/>
    <n v="250"/>
    <m/>
    <x v="110"/>
    <x v="3"/>
    <x v="2"/>
    <s v="T-Shirt"/>
    <n v="2500"/>
  </r>
  <r>
    <s v="2024-11-13T00:00:00.000000000"/>
    <s v="WEST"/>
    <s v="home goods"/>
    <s v="Vacuum"/>
    <n v="4"/>
    <n v="988"/>
    <m/>
    <x v="111"/>
    <x v="0"/>
    <x v="0"/>
    <s v="Vacuum"/>
    <n v="3952"/>
  </r>
  <r>
    <s v="2024-11-19T00:00:00.000000000"/>
    <s v="Northeast"/>
    <s v="Clothing"/>
    <s v="Jeans"/>
    <n v="16"/>
    <n v="847"/>
    <m/>
    <x v="112"/>
    <x v="3"/>
    <x v="2"/>
    <s v="Jeans"/>
    <n v="13552"/>
  </r>
  <r>
    <s v="2024-11-26T00:00:00.000000000"/>
    <s v="WEST"/>
    <s v="home goods"/>
    <s v="Lamp"/>
    <n v="6"/>
    <n v="922"/>
    <m/>
    <x v="113"/>
    <x v="0"/>
    <x v="0"/>
    <s v="Lamp"/>
    <n v="5532"/>
  </r>
  <r>
    <s v="2024-11-29T00:00:00.000000000"/>
    <s v="WEST"/>
    <s v="Electronics"/>
    <s v="Laptop"/>
    <n v="12"/>
    <n v="851"/>
    <m/>
    <x v="114"/>
    <x v="0"/>
    <x v="1"/>
    <s v="Laptop"/>
    <n v="10212"/>
  </r>
  <r>
    <s v="2024-11-30T00:00:00.000000000"/>
    <s v="South"/>
    <s v="Clothing"/>
    <s v="T-Shirt"/>
    <n v="3"/>
    <n v="1183"/>
    <m/>
    <x v="115"/>
    <x v="1"/>
    <x v="2"/>
    <s v="T-Shirt"/>
    <n v="3549"/>
  </r>
  <r>
    <s v="2024-12-03T00:00:00.000000000"/>
    <s v="WEST"/>
    <s v="Electronics"/>
    <s v="Tablet"/>
    <n v="3"/>
    <n v="895"/>
    <m/>
    <x v="116"/>
    <x v="0"/>
    <x v="1"/>
    <s v="Tablet"/>
    <n v="2685"/>
  </r>
  <r>
    <s v="2024-12-03T00:00:00.000000000"/>
    <s v="Midwest"/>
    <s v="Electronics"/>
    <s v="Phone"/>
    <n v="7"/>
    <n v="174"/>
    <m/>
    <x v="116"/>
    <x v="2"/>
    <x v="1"/>
    <s v="Phone"/>
    <n v="1218"/>
  </r>
  <r>
    <s v="2024-12-05T00:00:00.000000000"/>
    <s v="WEST"/>
    <s v="Clothing"/>
    <s v="T-Shirt"/>
    <n v="1"/>
    <n v="221"/>
    <m/>
    <x v="117"/>
    <x v="0"/>
    <x v="2"/>
    <s v="T-Shirt"/>
    <n v="221"/>
  </r>
  <r>
    <s v="2024-12-08T00:00:00.000000000"/>
    <s v="Northeast"/>
    <s v="Clothing"/>
    <s v="Jeans"/>
    <n v="12"/>
    <n v="315"/>
    <m/>
    <x v="118"/>
    <x v="3"/>
    <x v="2"/>
    <s v="Jeans"/>
    <n v="3780"/>
  </r>
  <r>
    <s v="2024-12-11T00:00:00.000000000"/>
    <s v="west "/>
    <s v="home goods"/>
    <s v="Vacuum"/>
    <n v="3"/>
    <n v="882"/>
    <m/>
    <x v="119"/>
    <x v="0"/>
    <x v="0"/>
    <s v="Vacuum"/>
    <n v="2646"/>
  </r>
  <r>
    <s v="2024-12-12T00:00:00.000000000"/>
    <s v="Midwest"/>
    <s v="Clothing"/>
    <s v="T-Shirt"/>
    <n v="19"/>
    <n v="1158"/>
    <m/>
    <x v="120"/>
    <x v="2"/>
    <x v="2"/>
    <s v="T-Shirt"/>
    <n v="22002"/>
  </r>
  <r>
    <s v="2024-12-19T00:00:00.000000000"/>
    <s v="Midwest"/>
    <s v="Electronics"/>
    <s v="Laptop"/>
    <n v="6"/>
    <n v="1192"/>
    <m/>
    <x v="121"/>
    <x v="2"/>
    <x v="1"/>
    <s v="Laptop"/>
    <n v="7152"/>
  </r>
  <r>
    <s v="2024-12-19T00:00:00.000000000"/>
    <s v="South"/>
    <s v="home goods"/>
    <s v="Vacuum"/>
    <n v="3"/>
    <n v="726"/>
    <m/>
    <x v="121"/>
    <x v="1"/>
    <x v="0"/>
    <s v="Vacuum"/>
    <n v="2178"/>
  </r>
  <r>
    <s v="2024-12-30T00:00:00.000000000"/>
    <s v="Northeast"/>
    <s v="home goods"/>
    <s v="Lamp"/>
    <n v="7"/>
    <n v="179"/>
    <m/>
    <x v="122"/>
    <x v="3"/>
    <x v="0"/>
    <s v="Lamp"/>
    <n v="125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4326AF-779B-4DA3-80FF-51B549EAB14B}"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8" firstHeaderRow="1" firstDataRow="1" firstDataCol="1"/>
  <pivotFields count="14">
    <pivotField showAll="0"/>
    <pivotField showAll="0"/>
    <pivotField showAll="0"/>
    <pivotField showAll="0"/>
    <pivotField numFmtId="2" showAll="0"/>
    <pivotField numFmtId="164" showAll="0"/>
    <pivotField showAll="0"/>
    <pivotField numFmtId="14" showAll="0">
      <items count="1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t="default"/>
      </items>
    </pivotField>
    <pivotField axis="axisRow" showAll="0">
      <items count="5">
        <item x="2"/>
        <item x="3"/>
        <item x="1"/>
        <item x="0"/>
        <item t="default"/>
      </items>
    </pivotField>
    <pivotField showAll="0"/>
    <pivotField showAll="0"/>
    <pivotField dataField="1"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5">
    <i>
      <x/>
    </i>
    <i>
      <x v="1"/>
    </i>
    <i>
      <x v="2"/>
    </i>
    <i>
      <x v="3"/>
    </i>
    <i t="grand">
      <x/>
    </i>
  </rowItems>
  <colItems count="1">
    <i/>
  </colItems>
  <dataFields count="1">
    <dataField name="Sum of Revenue" fld="11" baseField="0" baseItem="0" numFmtId="164"/>
  </dataFields>
  <chartFormats count="1">
    <chartFormat chart="1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26072F-A3E7-4963-AEC4-0B2E2AF2C01C}"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5" firstHeaderRow="1" firstDataRow="1" firstDataCol="1"/>
  <pivotFields count="14">
    <pivotField showAll="0"/>
    <pivotField showAll="0"/>
    <pivotField showAll="0"/>
    <pivotField showAll="0"/>
    <pivotField numFmtId="2" showAll="0"/>
    <pivotField numFmtId="164" showAll="0"/>
    <pivotField showAll="0"/>
    <pivotField numFmtId="14" showAll="0">
      <items count="1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t="default"/>
      </items>
    </pivotField>
    <pivotField showAll="0"/>
    <pivotField axis="axisRow" showAll="0">
      <items count="5">
        <item h="1" m="1" x="3"/>
        <item x="2"/>
        <item h="1" x="1"/>
        <item h="1" x="0"/>
        <item t="default"/>
      </items>
    </pivotField>
    <pivotField showAll="0"/>
    <pivotField dataField="1" numFmtId="164"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2">
    <i>
      <x v="1"/>
    </i>
    <i t="grand">
      <x/>
    </i>
  </rowItems>
  <colItems count="1">
    <i/>
  </colItems>
  <dataFields count="1">
    <dataField name="Sum of Revenue" fld="11" baseField="0" baseItem="0" numFmtId="164"/>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1ED2AF-27E0-45F0-895A-8D5531D1EF8F}" name="PivotTable5" cacheId="2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3:B16" firstHeaderRow="1" firstDataRow="1" firstDataCol="1"/>
  <pivotFields count="14">
    <pivotField showAll="0"/>
    <pivotField showAll="0"/>
    <pivotField showAll="0"/>
    <pivotField showAll="0"/>
    <pivotField numFmtId="2" showAll="0"/>
    <pivotField numFmtId="164" showAll="0"/>
    <pivotField showAll="0"/>
    <pivotField axis="axisRow" numFmtId="14" showAll="0">
      <items count="1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t="default"/>
      </items>
    </pivotField>
    <pivotField showAll="0"/>
    <pivotField showAll="0"/>
    <pivotField showAll="0"/>
    <pivotField dataField="1" numFmtId="164"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3"/>
    <field x="12"/>
    <field x="7"/>
  </rowFields>
  <rowItems count="13">
    <i>
      <x v="1"/>
    </i>
    <i>
      <x v="2"/>
    </i>
    <i>
      <x v="3"/>
    </i>
    <i>
      <x v="4"/>
    </i>
    <i>
      <x v="5"/>
    </i>
    <i>
      <x v="6"/>
    </i>
    <i>
      <x v="7"/>
    </i>
    <i>
      <x v="8"/>
    </i>
    <i>
      <x v="9"/>
    </i>
    <i>
      <x v="10"/>
    </i>
    <i>
      <x v="11"/>
    </i>
    <i>
      <x v="12"/>
    </i>
    <i t="grand">
      <x/>
    </i>
  </rowItems>
  <colItems count="1">
    <i/>
  </colItems>
  <dataFields count="1">
    <dataField name="Sum of Revenue" fld="11" baseField="0" baseItem="0" numFmtId="164"/>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dateBetween" evalOrder="-1" id="19" name="Clean 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_Region" xr10:uid="{7191E604-B238-4FFB-BB09-00B62ED5FFAE}" sourceName="Clean Region">
  <pivotTables>
    <pivotTable tabId="2" name="PivotTable1"/>
  </pivotTables>
  <data>
    <tabular pivotCacheId="2031557497">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_Product_Category" xr10:uid="{68EF6BC2-4C9D-43BC-85DD-3CE16F3D91FB}" sourceName="Clean Product Category">
  <pivotTables>
    <pivotTable tabId="3" name="PivotTable2"/>
  </pivotTables>
  <data>
    <tabular pivotCacheId="2031557497">
      <items count="4">
        <i x="2" s="1"/>
        <i x="1"/>
        <i x="0"/>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ean Region" xr10:uid="{9FE791E3-BD77-4732-818E-22B8617BEED1}" cache="Slicer_Clean_Region" caption="Clean Reg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ean Product Category" xr10:uid="{912B3A01-C201-4E7B-9F4C-CC4BE2CF4EBB}" cache="Slicer_Clean_Product_Category" caption="Clean Product 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288F71D-7C5D-43A3-B1EE-4C539DAD0B84}" name="Table5" displayName="Table5" ref="A1:L149" totalsRowShown="0">
  <autoFilter ref="A1:L149" xr:uid="{5288F71D-7C5D-43A3-B1EE-4C539DAD0B84}"/>
  <tableColumns count="12">
    <tableColumn id="1" xr3:uid="{5CF9F709-554C-4D79-9CC6-E167CE6FE487}" name="Date" dataDxfId="5"/>
    <tableColumn id="2" xr3:uid="{0A1859EE-32D2-4D1F-AB84-3C46692696AA}" name="Region"/>
    <tableColumn id="3" xr3:uid="{62E60E4F-B7B5-427D-9287-F4B885E990B3}" name="Product Category"/>
    <tableColumn id="4" xr3:uid="{86A7AD76-491D-4E66-BC60-FFFE31BC63CB}" name="Product Name"/>
    <tableColumn id="5" xr3:uid="{4EC1AD83-75B5-4A21-BD19-CB581055D431}" name="Units Sold" dataDxfId="4"/>
    <tableColumn id="6" xr3:uid="{BD32FE99-D350-46A7-AA40-F49E762B0AC9}" name="Unit Price" dataDxfId="3"/>
    <tableColumn id="13" xr3:uid="{7A7AB104-4170-42D9-841F-0C013BA749F7}" name="Column2" dataDxfId="2"/>
    <tableColumn id="7" xr3:uid="{EA4AE9E6-7C01-4851-A783-6AF7D757EEF5}" name="Clean Date" dataDxfId="1">
      <calculatedColumnFormula>DATEVALUE(LEFT(Table5[[#This Row],[Date]],10))</calculatedColumnFormula>
    </tableColumn>
    <tableColumn id="8" xr3:uid="{7DDE6217-D4F6-4008-BE4A-820F2E07D592}" name="Clean Region">
      <calculatedColumnFormula>PROPER(TRIM(B2))</calculatedColumnFormula>
    </tableColumn>
    <tableColumn id="9" xr3:uid="{1957D088-57D9-44E9-AC25-EA0C412BBFAB}" name="Clean Product Category">
      <calculatedColumnFormula>PROPER(TRIM(C2))</calculatedColumnFormula>
    </tableColumn>
    <tableColumn id="10" xr3:uid="{EC3605E8-E32E-4470-B0DD-1A414BCDD6A1}" name="Clean Product Name">
      <calculatedColumnFormula>PROPER(TRIM(D2))</calculatedColumnFormula>
    </tableColumn>
    <tableColumn id="11" xr3:uid="{2AC15388-3680-492C-97C7-86935AF42AB1}" name="Revenue" dataDxfId="0">
      <calculatedColumnFormula>F2*E2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lean_Date" xr10:uid="{083512E7-0BA4-4DAB-88BF-BED5554A3486}" sourceName="Clean Date">
  <pivotTables>
    <pivotTable tabId="6" name="PivotTable5"/>
  </pivotTables>
  <state minimalRefreshVersion="6" lastRefreshVersion="6" pivotCacheId="2031557497" filterType="dateBetween">
    <selection startDate="2024-01-01T00:00:00" endDate="2024-12-31T00:00:00"/>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lean Date" xr10:uid="{2B75ABE1-E83F-49F8-BCFA-D1E614F83A72}" cache="NativeTimeline_Clean_Date" caption="Clean Date" level="2" selectionLevel="0" scrollPosition="2024-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16670-528C-44A7-811A-7A4BD8F0D4E5}">
  <dimension ref="A3:B8"/>
  <sheetViews>
    <sheetView workbookViewId="0">
      <selection activeCell="F30" sqref="F30"/>
    </sheetView>
  </sheetViews>
  <sheetFormatPr defaultRowHeight="14.4" x14ac:dyDescent="0.3"/>
  <cols>
    <col min="1" max="1" width="12.44140625" bestFit="1" customWidth="1"/>
    <col min="2" max="2" width="14.109375" bestFit="1" customWidth="1"/>
  </cols>
  <sheetData>
    <row r="3" spans="1:2" x14ac:dyDescent="0.3">
      <c r="A3" s="4" t="s">
        <v>152</v>
      </c>
      <c r="B3" t="s">
        <v>154</v>
      </c>
    </row>
    <row r="4" spans="1:2" x14ac:dyDescent="0.3">
      <c r="A4" s="5" t="s">
        <v>24</v>
      </c>
      <c r="B4" s="3">
        <v>168111</v>
      </c>
    </row>
    <row r="5" spans="1:2" x14ac:dyDescent="0.3">
      <c r="A5" s="5" t="s">
        <v>27</v>
      </c>
      <c r="B5" s="3">
        <v>235218</v>
      </c>
    </row>
    <row r="6" spans="1:2" x14ac:dyDescent="0.3">
      <c r="A6" s="5" t="s">
        <v>20</v>
      </c>
      <c r="B6" s="3">
        <v>129688</v>
      </c>
    </row>
    <row r="7" spans="1:2" x14ac:dyDescent="0.3">
      <c r="A7" s="5" t="s">
        <v>13</v>
      </c>
      <c r="B7" s="3">
        <v>372547</v>
      </c>
    </row>
    <row r="8" spans="1:2" x14ac:dyDescent="0.3">
      <c r="A8" s="5" t="s">
        <v>153</v>
      </c>
      <c r="B8" s="3">
        <v>905564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F3F01-21B8-4FCC-8DFC-DC1109934DCA}">
  <dimension ref="A3:B5"/>
  <sheetViews>
    <sheetView workbookViewId="0">
      <selection activeCell="K20" sqref="K20"/>
    </sheetView>
  </sheetViews>
  <sheetFormatPr defaultRowHeight="14.4" x14ac:dyDescent="0.3"/>
  <cols>
    <col min="1" max="1" width="12.44140625" bestFit="1" customWidth="1"/>
    <col min="2" max="2" width="14.109375" bestFit="1" customWidth="1"/>
  </cols>
  <sheetData>
    <row r="3" spans="1:2" x14ac:dyDescent="0.3">
      <c r="A3" s="4" t="s">
        <v>152</v>
      </c>
      <c r="B3" t="s">
        <v>154</v>
      </c>
    </row>
    <row r="4" spans="1:2" x14ac:dyDescent="0.3">
      <c r="A4" s="5" t="s">
        <v>14</v>
      </c>
      <c r="B4" s="3">
        <v>325334</v>
      </c>
    </row>
    <row r="5" spans="1:2" x14ac:dyDescent="0.3">
      <c r="A5" s="5" t="s">
        <v>153</v>
      </c>
      <c r="B5" s="3">
        <v>325334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8366E-C997-4D1D-A87A-44B3E27D177F}">
  <dimension ref="A3:B16"/>
  <sheetViews>
    <sheetView workbookViewId="0">
      <selection activeCell="B13" sqref="B13"/>
    </sheetView>
  </sheetViews>
  <sheetFormatPr defaultRowHeight="14.4" x14ac:dyDescent="0.3"/>
  <cols>
    <col min="1" max="1" width="12.44140625" bestFit="1" customWidth="1"/>
    <col min="2" max="2" width="14.109375" bestFit="1" customWidth="1"/>
  </cols>
  <sheetData>
    <row r="3" spans="1:2" x14ac:dyDescent="0.3">
      <c r="A3" s="4" t="s">
        <v>152</v>
      </c>
      <c r="B3" t="s">
        <v>154</v>
      </c>
    </row>
    <row r="4" spans="1:2" x14ac:dyDescent="0.3">
      <c r="A4" s="5" t="s">
        <v>156</v>
      </c>
      <c r="B4" s="3">
        <v>106322</v>
      </c>
    </row>
    <row r="5" spans="1:2" x14ac:dyDescent="0.3">
      <c r="A5" s="5" t="s">
        <v>157</v>
      </c>
      <c r="B5" s="3">
        <v>22577</v>
      </c>
    </row>
    <row r="6" spans="1:2" x14ac:dyDescent="0.3">
      <c r="A6" s="5" t="s">
        <v>158</v>
      </c>
      <c r="B6" s="3">
        <v>70004</v>
      </c>
    </row>
    <row r="7" spans="1:2" x14ac:dyDescent="0.3">
      <c r="A7" s="5" t="s">
        <v>159</v>
      </c>
      <c r="B7" s="3">
        <v>73589</v>
      </c>
    </row>
    <row r="8" spans="1:2" x14ac:dyDescent="0.3">
      <c r="A8" s="5" t="s">
        <v>160</v>
      </c>
      <c r="B8" s="3">
        <v>136512</v>
      </c>
    </row>
    <row r="9" spans="1:2" x14ac:dyDescent="0.3">
      <c r="A9" s="5" t="s">
        <v>161</v>
      </c>
      <c r="B9" s="3">
        <v>86468</v>
      </c>
    </row>
    <row r="10" spans="1:2" x14ac:dyDescent="0.3">
      <c r="A10" s="5" t="s">
        <v>162</v>
      </c>
      <c r="B10" s="3">
        <v>50360</v>
      </c>
    </row>
    <row r="11" spans="1:2" x14ac:dyDescent="0.3">
      <c r="A11" s="5" t="s">
        <v>163</v>
      </c>
      <c r="B11" s="3">
        <v>90263</v>
      </c>
    </row>
    <row r="12" spans="1:2" x14ac:dyDescent="0.3">
      <c r="A12" s="5" t="s">
        <v>164</v>
      </c>
      <c r="B12" s="3">
        <v>56780</v>
      </c>
    </row>
    <row r="13" spans="1:2" x14ac:dyDescent="0.3">
      <c r="A13" s="5" t="s">
        <v>165</v>
      </c>
      <c r="B13" s="3">
        <v>110821</v>
      </c>
    </row>
    <row r="14" spans="1:2" x14ac:dyDescent="0.3">
      <c r="A14" s="5" t="s">
        <v>166</v>
      </c>
      <c r="B14" s="3">
        <v>58733</v>
      </c>
    </row>
    <row r="15" spans="1:2" x14ac:dyDescent="0.3">
      <c r="A15" s="5" t="s">
        <v>167</v>
      </c>
      <c r="B15" s="3">
        <v>43135</v>
      </c>
    </row>
    <row r="16" spans="1:2" x14ac:dyDescent="0.3">
      <c r="A16" s="5" t="s">
        <v>153</v>
      </c>
      <c r="B16" s="3">
        <v>905564</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3A24F-83BD-4C69-8EED-68F179B9F2F5}">
  <dimension ref="A1:L164"/>
  <sheetViews>
    <sheetView tabSelected="1" zoomScale="72" zoomScaleNormal="35" workbookViewId="0">
      <selection activeCell="O57" sqref="O57"/>
    </sheetView>
  </sheetViews>
  <sheetFormatPr defaultRowHeight="14.4" x14ac:dyDescent="0.3"/>
  <cols>
    <col min="1" max="1" width="30" style="6" bestFit="1" customWidth="1"/>
    <col min="2" max="2" width="17.21875" customWidth="1"/>
    <col min="3" max="3" width="14.6640625" customWidth="1"/>
    <col min="4" max="4" width="11.44140625" style="1" customWidth="1"/>
    <col min="5" max="5" width="11.21875" style="3" customWidth="1"/>
    <col min="6" max="6" width="23" customWidth="1"/>
    <col min="7" max="7" width="21.33203125" customWidth="1"/>
    <col min="8" max="8" width="10.88671875" style="7" bestFit="1" customWidth="1"/>
    <col min="9" max="9" width="20.109375" customWidth="1"/>
    <col min="10" max="10" width="20.77734375" bestFit="1" customWidth="1"/>
    <col min="11" max="11" width="18.21875" bestFit="1" customWidth="1"/>
    <col min="12" max="12" width="10.5546875" bestFit="1" customWidth="1"/>
  </cols>
  <sheetData>
    <row r="1" spans="1:12" x14ac:dyDescent="0.3">
      <c r="A1" s="6" t="s">
        <v>145</v>
      </c>
      <c r="B1" t="s">
        <v>0</v>
      </c>
      <c r="C1" t="s">
        <v>1</v>
      </c>
      <c r="D1" t="s">
        <v>2</v>
      </c>
      <c r="E1" s="1" t="s">
        <v>3</v>
      </c>
      <c r="F1" s="2" t="s">
        <v>4</v>
      </c>
      <c r="G1" s="2" t="s">
        <v>151</v>
      </c>
      <c r="H1" s="7" t="s">
        <v>155</v>
      </c>
      <c r="I1" t="s">
        <v>146</v>
      </c>
      <c r="J1" t="s">
        <v>148</v>
      </c>
      <c r="K1" t="s">
        <v>147</v>
      </c>
      <c r="L1" t="s">
        <v>150</v>
      </c>
    </row>
    <row r="2" spans="1:12" x14ac:dyDescent="0.3">
      <c r="A2" s="6" t="s">
        <v>47</v>
      </c>
      <c r="B2" t="s">
        <v>9</v>
      </c>
      <c r="C2" t="s">
        <v>149</v>
      </c>
      <c r="D2" t="s">
        <v>11</v>
      </c>
      <c r="E2" s="1">
        <v>15</v>
      </c>
      <c r="F2" s="3">
        <v>342</v>
      </c>
      <c r="G2" s="3"/>
      <c r="H2" s="7">
        <f>DATEVALUE(LEFT(Table5[[#This Row],[Date]],10))</f>
        <v>45292</v>
      </c>
      <c r="I2" t="str">
        <f t="shared" ref="I2:I18" si="0">PROPER(TRIM(B2))</f>
        <v>West</v>
      </c>
      <c r="J2" t="str">
        <f t="shared" ref="J2:J18" si="1">PROPER(TRIM(C2))</f>
        <v>Home Goods</v>
      </c>
      <c r="K2" t="str">
        <f t="shared" ref="K2:K4" si="2">PROPER(TRIM(D2))</f>
        <v>Vacuum</v>
      </c>
      <c r="L2" s="3">
        <f t="shared" ref="L2:L18" si="3">F2*E2</f>
        <v>5130</v>
      </c>
    </row>
    <row r="3" spans="1:12" x14ac:dyDescent="0.3">
      <c r="A3" s="6" t="s">
        <v>138</v>
      </c>
      <c r="B3" t="s">
        <v>13</v>
      </c>
      <c r="C3" t="s">
        <v>10</v>
      </c>
      <c r="D3" t="s">
        <v>21</v>
      </c>
      <c r="E3" s="1">
        <v>16</v>
      </c>
      <c r="F3" s="3">
        <v>619</v>
      </c>
      <c r="G3" s="3"/>
      <c r="H3" s="7">
        <f>DATEVALUE(LEFT(Table5[[#This Row],[Date]],10))</f>
        <v>45294</v>
      </c>
      <c r="I3" t="str">
        <f t="shared" si="0"/>
        <v>West</v>
      </c>
      <c r="J3" t="str">
        <f t="shared" si="1"/>
        <v>Electronics</v>
      </c>
      <c r="K3" t="str">
        <f t="shared" si="2"/>
        <v>Phone</v>
      </c>
      <c r="L3" s="3">
        <f t="shared" si="3"/>
        <v>9904</v>
      </c>
    </row>
    <row r="4" spans="1:12" x14ac:dyDescent="0.3">
      <c r="A4" s="6" t="s">
        <v>59</v>
      </c>
      <c r="B4" t="s">
        <v>31</v>
      </c>
      <c r="C4" t="s">
        <v>10</v>
      </c>
      <c r="D4" t="s">
        <v>21</v>
      </c>
      <c r="E4" s="1">
        <v>12</v>
      </c>
      <c r="F4" s="3">
        <v>1075</v>
      </c>
      <c r="G4" s="3"/>
      <c r="H4" s="7">
        <f>DATEVALUE(LEFT(Table5[[#This Row],[Date]],10))</f>
        <v>45302</v>
      </c>
      <c r="I4" t="str">
        <f t="shared" si="0"/>
        <v>West</v>
      </c>
      <c r="J4" t="str">
        <f t="shared" si="1"/>
        <v>Electronics</v>
      </c>
      <c r="K4" t="str">
        <f t="shared" si="2"/>
        <v>Phone</v>
      </c>
      <c r="L4" s="3">
        <f t="shared" si="3"/>
        <v>12900</v>
      </c>
    </row>
    <row r="5" spans="1:12" x14ac:dyDescent="0.3">
      <c r="A5" s="6" t="s">
        <v>122</v>
      </c>
      <c r="B5" t="s">
        <v>20</v>
      </c>
      <c r="C5" t="s">
        <v>10</v>
      </c>
      <c r="D5" t="s">
        <v>25</v>
      </c>
      <c r="E5" s="1">
        <v>19</v>
      </c>
      <c r="F5" s="3">
        <v>609</v>
      </c>
      <c r="G5" s="3"/>
      <c r="H5" s="7">
        <f>DATEVALUE(LEFT(Table5[[#This Row],[Date]],10))</f>
        <v>45304</v>
      </c>
      <c r="I5" t="str">
        <f t="shared" si="0"/>
        <v>South</v>
      </c>
      <c r="J5" t="str">
        <f t="shared" si="1"/>
        <v>Electronics</v>
      </c>
      <c r="K5" t="str">
        <f t="shared" ref="K5:K18" si="4">PROPER(TRIM(D5))</f>
        <v>Tablet</v>
      </c>
      <c r="L5" s="3">
        <f t="shared" si="3"/>
        <v>11571</v>
      </c>
    </row>
    <row r="6" spans="1:12" x14ac:dyDescent="0.3">
      <c r="A6" s="6" t="s">
        <v>89</v>
      </c>
      <c r="B6" t="s">
        <v>24</v>
      </c>
      <c r="C6" t="s">
        <v>14</v>
      </c>
      <c r="D6" t="s">
        <v>12</v>
      </c>
      <c r="E6" s="1">
        <v>12</v>
      </c>
      <c r="F6" s="3">
        <v>1016</v>
      </c>
      <c r="G6" s="3"/>
      <c r="H6" s="7">
        <f>DATEVALUE(LEFT(Table5[[#This Row],[Date]],10))</f>
        <v>45305</v>
      </c>
      <c r="I6" t="str">
        <f t="shared" si="0"/>
        <v>Midwest</v>
      </c>
      <c r="J6" t="str">
        <f t="shared" si="1"/>
        <v>Clothing</v>
      </c>
      <c r="K6" t="str">
        <f t="shared" si="4"/>
        <v>Jeans</v>
      </c>
      <c r="L6" s="3">
        <f t="shared" si="3"/>
        <v>12192</v>
      </c>
    </row>
    <row r="7" spans="1:12" x14ac:dyDescent="0.3">
      <c r="A7" s="6" t="s">
        <v>129</v>
      </c>
      <c r="B7" t="s">
        <v>24</v>
      </c>
      <c r="C7" t="s">
        <v>10</v>
      </c>
      <c r="D7" t="s">
        <v>21</v>
      </c>
      <c r="E7" s="1">
        <v>10</v>
      </c>
      <c r="F7" s="3">
        <v>998</v>
      </c>
      <c r="G7" s="3"/>
      <c r="H7" s="7">
        <f>DATEVALUE(LEFT(Table5[[#This Row],[Date]],10))</f>
        <v>45307</v>
      </c>
      <c r="I7" t="str">
        <f t="shared" si="0"/>
        <v>Midwest</v>
      </c>
      <c r="J7" t="str">
        <f t="shared" si="1"/>
        <v>Electronics</v>
      </c>
      <c r="K7" t="str">
        <f t="shared" si="4"/>
        <v>Phone</v>
      </c>
      <c r="L7" s="3">
        <f t="shared" si="3"/>
        <v>9980</v>
      </c>
    </row>
    <row r="8" spans="1:12" x14ac:dyDescent="0.3">
      <c r="A8" s="6" t="s">
        <v>127</v>
      </c>
      <c r="B8" t="s">
        <v>13</v>
      </c>
      <c r="C8" t="s">
        <v>10</v>
      </c>
      <c r="D8" t="s">
        <v>21</v>
      </c>
      <c r="E8" s="1">
        <v>19</v>
      </c>
      <c r="F8" s="3">
        <v>225</v>
      </c>
      <c r="G8" s="3"/>
      <c r="H8" s="7">
        <f>DATEVALUE(LEFT(Table5[[#This Row],[Date]],10))</f>
        <v>45308</v>
      </c>
      <c r="I8" t="str">
        <f t="shared" si="0"/>
        <v>West</v>
      </c>
      <c r="J8" t="str">
        <f t="shared" si="1"/>
        <v>Electronics</v>
      </c>
      <c r="K8" t="str">
        <f t="shared" si="4"/>
        <v>Phone</v>
      </c>
      <c r="L8" s="3">
        <f t="shared" si="3"/>
        <v>4275</v>
      </c>
    </row>
    <row r="9" spans="1:12" x14ac:dyDescent="0.3">
      <c r="A9" s="6" t="s">
        <v>92</v>
      </c>
      <c r="B9" t="s">
        <v>24</v>
      </c>
      <c r="C9" t="s">
        <v>10</v>
      </c>
      <c r="D9" t="s">
        <v>21</v>
      </c>
      <c r="E9" s="1">
        <v>8</v>
      </c>
      <c r="F9" s="3">
        <v>513</v>
      </c>
      <c r="G9" s="3"/>
      <c r="H9" s="7">
        <f>DATEVALUE(LEFT(Table5[[#This Row],[Date]],10))</f>
        <v>45311</v>
      </c>
      <c r="I9" t="str">
        <f t="shared" si="0"/>
        <v>Midwest</v>
      </c>
      <c r="J9" t="str">
        <f t="shared" si="1"/>
        <v>Electronics</v>
      </c>
      <c r="K9" t="str">
        <f t="shared" si="4"/>
        <v>Phone</v>
      </c>
      <c r="L9" s="3">
        <f t="shared" si="3"/>
        <v>4104</v>
      </c>
    </row>
    <row r="10" spans="1:12" x14ac:dyDescent="0.3">
      <c r="A10" s="6" t="s">
        <v>104</v>
      </c>
      <c r="B10" t="s">
        <v>20</v>
      </c>
      <c r="C10" t="s">
        <v>18</v>
      </c>
      <c r="D10" t="s">
        <v>21</v>
      </c>
      <c r="E10" s="1">
        <v>18</v>
      </c>
      <c r="F10" s="3">
        <v>573</v>
      </c>
      <c r="G10" s="3"/>
      <c r="H10" s="7">
        <f>DATEVALUE(LEFT(Table5[[#This Row],[Date]],10))</f>
        <v>45314</v>
      </c>
      <c r="I10" t="str">
        <f t="shared" si="0"/>
        <v>South</v>
      </c>
      <c r="J10" t="str">
        <f t="shared" si="1"/>
        <v>Electronics</v>
      </c>
      <c r="K10" t="str">
        <f t="shared" si="4"/>
        <v>Phone</v>
      </c>
      <c r="L10" s="3">
        <f t="shared" si="3"/>
        <v>10314</v>
      </c>
    </row>
    <row r="11" spans="1:12" x14ac:dyDescent="0.3">
      <c r="A11" s="6" t="s">
        <v>104</v>
      </c>
      <c r="B11" t="s">
        <v>24</v>
      </c>
      <c r="C11" t="s">
        <v>14</v>
      </c>
      <c r="D11" t="s">
        <v>12</v>
      </c>
      <c r="E11" s="1">
        <v>16</v>
      </c>
      <c r="F11" s="3">
        <v>228</v>
      </c>
      <c r="G11" s="3"/>
      <c r="H11" s="7">
        <f>DATEVALUE(LEFT(Table5[[#This Row],[Date]],10))</f>
        <v>45314</v>
      </c>
      <c r="I11" t="str">
        <f t="shared" si="0"/>
        <v>Midwest</v>
      </c>
      <c r="J11" t="str">
        <f t="shared" si="1"/>
        <v>Clothing</v>
      </c>
      <c r="K11" t="str">
        <f t="shared" si="4"/>
        <v>Jeans</v>
      </c>
      <c r="L11" s="3">
        <f t="shared" si="3"/>
        <v>3648</v>
      </c>
    </row>
    <row r="12" spans="1:12" x14ac:dyDescent="0.3">
      <c r="A12" s="6" t="s">
        <v>5</v>
      </c>
      <c r="B12" t="s">
        <v>27</v>
      </c>
      <c r="C12" t="s">
        <v>14</v>
      </c>
      <c r="D12" t="s">
        <v>7</v>
      </c>
      <c r="E12" s="1">
        <v>15</v>
      </c>
      <c r="F12" s="3">
        <v>555</v>
      </c>
      <c r="G12" s="3"/>
      <c r="H12" s="7">
        <f>DATEVALUE(LEFT(Table5[[#This Row],[Date]],10))</f>
        <v>45317</v>
      </c>
      <c r="I12" t="str">
        <f t="shared" si="0"/>
        <v>Northeast</v>
      </c>
      <c r="J12" t="str">
        <f t="shared" si="1"/>
        <v>Clothing</v>
      </c>
      <c r="K12" t="str">
        <f t="shared" si="4"/>
        <v>T-Shirt</v>
      </c>
      <c r="L12" s="3">
        <f t="shared" si="3"/>
        <v>8325</v>
      </c>
    </row>
    <row r="13" spans="1:12" x14ac:dyDescent="0.3">
      <c r="A13" s="6" t="s">
        <v>96</v>
      </c>
      <c r="B13" t="s">
        <v>24</v>
      </c>
      <c r="C13" t="s">
        <v>168</v>
      </c>
      <c r="D13" t="s">
        <v>23</v>
      </c>
      <c r="E13" s="1">
        <v>7</v>
      </c>
      <c r="F13" s="3">
        <v>291</v>
      </c>
      <c r="G13" s="3"/>
      <c r="H13" s="7">
        <f>DATEVALUE(LEFT(Table5[[#This Row],[Date]],10))</f>
        <v>45318</v>
      </c>
      <c r="I13" t="str">
        <f t="shared" si="0"/>
        <v>Midwest</v>
      </c>
      <c r="J13" t="str">
        <f t="shared" si="1"/>
        <v>Home Goods</v>
      </c>
      <c r="K13" t="str">
        <f t="shared" si="4"/>
        <v>Lamp</v>
      </c>
      <c r="L13" s="3">
        <f t="shared" si="3"/>
        <v>2037</v>
      </c>
    </row>
    <row r="14" spans="1:12" x14ac:dyDescent="0.3">
      <c r="A14" s="6" t="s">
        <v>43</v>
      </c>
      <c r="B14" t="s">
        <v>27</v>
      </c>
      <c r="C14" t="s">
        <v>6</v>
      </c>
      <c r="D14" t="s">
        <v>23</v>
      </c>
      <c r="E14" s="1">
        <v>10</v>
      </c>
      <c r="F14" s="3">
        <v>1085</v>
      </c>
      <c r="G14" s="3"/>
      <c r="H14" s="7">
        <f>DATEVALUE(LEFT(Table5[[#This Row],[Date]],10))</f>
        <v>45320</v>
      </c>
      <c r="I14" t="str">
        <f t="shared" si="0"/>
        <v>Northeast</v>
      </c>
      <c r="J14" t="str">
        <f t="shared" si="1"/>
        <v>Home Goods</v>
      </c>
      <c r="K14" t="str">
        <f t="shared" si="4"/>
        <v>Lamp</v>
      </c>
      <c r="L14" s="3">
        <f t="shared" si="3"/>
        <v>10850</v>
      </c>
    </row>
    <row r="15" spans="1:12" x14ac:dyDescent="0.3">
      <c r="A15" s="6" t="s">
        <v>56</v>
      </c>
      <c r="B15" t="s">
        <v>20</v>
      </c>
      <c r="C15" t="s">
        <v>18</v>
      </c>
      <c r="D15" t="s">
        <v>25</v>
      </c>
      <c r="E15" s="1">
        <v>7</v>
      </c>
      <c r="F15" s="3">
        <v>156</v>
      </c>
      <c r="G15" s="3"/>
      <c r="H15" s="7">
        <f>DATEVALUE(LEFT(Table5[[#This Row],[Date]],10))</f>
        <v>45321</v>
      </c>
      <c r="I15" t="str">
        <f t="shared" si="0"/>
        <v>South</v>
      </c>
      <c r="J15" t="str">
        <f t="shared" si="1"/>
        <v>Electronics</v>
      </c>
      <c r="K15" t="str">
        <f t="shared" si="4"/>
        <v>Tablet</v>
      </c>
      <c r="L15" s="3">
        <f t="shared" si="3"/>
        <v>1092</v>
      </c>
    </row>
    <row r="16" spans="1:12" x14ac:dyDescent="0.3">
      <c r="A16" s="6" t="s">
        <v>46</v>
      </c>
      <c r="B16" t="s">
        <v>13</v>
      </c>
      <c r="C16" t="s">
        <v>18</v>
      </c>
      <c r="D16" t="s">
        <v>15</v>
      </c>
      <c r="E16" s="1">
        <v>19</v>
      </c>
      <c r="F16" s="3">
        <v>182</v>
      </c>
      <c r="G16" s="3"/>
      <c r="H16" s="7">
        <f>DATEVALUE(LEFT(Table5[[#This Row],[Date]],10))</f>
        <v>45323</v>
      </c>
      <c r="I16" t="str">
        <f t="shared" si="0"/>
        <v>West</v>
      </c>
      <c r="J16" t="str">
        <f t="shared" si="1"/>
        <v>Electronics</v>
      </c>
      <c r="K16" t="str">
        <f t="shared" si="4"/>
        <v>Laptop</v>
      </c>
      <c r="L16" s="3">
        <f t="shared" si="3"/>
        <v>3458</v>
      </c>
    </row>
    <row r="17" spans="1:12" x14ac:dyDescent="0.3">
      <c r="A17" s="6" t="s">
        <v>46</v>
      </c>
      <c r="B17" t="s">
        <v>27</v>
      </c>
      <c r="C17" t="s">
        <v>14</v>
      </c>
      <c r="D17" t="s">
        <v>12</v>
      </c>
      <c r="E17" s="1">
        <v>2</v>
      </c>
      <c r="F17" s="3">
        <v>344</v>
      </c>
      <c r="G17" s="3"/>
      <c r="H17" s="7">
        <f>DATEVALUE(LEFT(Table5[[#This Row],[Date]],10))</f>
        <v>45323</v>
      </c>
      <c r="I17" t="str">
        <f t="shared" si="0"/>
        <v>Northeast</v>
      </c>
      <c r="J17" t="str">
        <f t="shared" si="1"/>
        <v>Clothing</v>
      </c>
      <c r="K17" t="str">
        <f t="shared" si="4"/>
        <v>Jeans</v>
      </c>
      <c r="L17" s="3">
        <f t="shared" si="3"/>
        <v>688</v>
      </c>
    </row>
    <row r="18" spans="1:12" x14ac:dyDescent="0.3">
      <c r="A18" s="6" t="s">
        <v>102</v>
      </c>
      <c r="B18" t="s">
        <v>27</v>
      </c>
      <c r="C18" t="s">
        <v>14</v>
      </c>
      <c r="D18" t="s">
        <v>7</v>
      </c>
      <c r="E18" s="1">
        <v>3</v>
      </c>
      <c r="F18" s="3">
        <v>258</v>
      </c>
      <c r="G18" s="3"/>
      <c r="H18" s="7">
        <f>DATEVALUE(LEFT(Table5[[#This Row],[Date]],10))</f>
        <v>45329</v>
      </c>
      <c r="I18" t="str">
        <f t="shared" si="0"/>
        <v>Northeast</v>
      </c>
      <c r="J18" t="str">
        <f t="shared" si="1"/>
        <v>Clothing</v>
      </c>
      <c r="K18" t="str">
        <f t="shared" si="4"/>
        <v>T-Shirt</v>
      </c>
      <c r="L18" s="3">
        <f t="shared" si="3"/>
        <v>774</v>
      </c>
    </row>
    <row r="19" spans="1:12" x14ac:dyDescent="0.3">
      <c r="A19" s="6" t="s">
        <v>80</v>
      </c>
      <c r="B19" t="s">
        <v>13</v>
      </c>
      <c r="C19" t="s">
        <v>10</v>
      </c>
      <c r="D19" t="s">
        <v>15</v>
      </c>
      <c r="E19" s="1">
        <v>4</v>
      </c>
      <c r="F19" s="3">
        <v>1128</v>
      </c>
      <c r="G19" s="3"/>
      <c r="H19" s="7">
        <f>DATEVALUE(LEFT(Table5[[#This Row],[Date]],10))</f>
        <v>45331</v>
      </c>
      <c r="I19" t="str">
        <f t="shared" ref="I19:I38" si="5">PROPER(TRIM(B19))</f>
        <v>West</v>
      </c>
      <c r="J19" t="str">
        <f t="shared" ref="J19:J38" si="6">PROPER(TRIM(C19))</f>
        <v>Electronics</v>
      </c>
      <c r="K19" t="str">
        <f t="shared" ref="K19:K38" si="7">PROPER(TRIM(D19))</f>
        <v>Laptop</v>
      </c>
      <c r="L19" s="3">
        <f t="shared" ref="L19:L38" si="8">F19*E19</f>
        <v>4512</v>
      </c>
    </row>
    <row r="20" spans="1:12" x14ac:dyDescent="0.3">
      <c r="A20" s="6" t="s">
        <v>8</v>
      </c>
      <c r="B20" t="s">
        <v>9</v>
      </c>
      <c r="C20" t="s">
        <v>149</v>
      </c>
      <c r="D20" t="s">
        <v>11</v>
      </c>
      <c r="E20" s="1">
        <v>8</v>
      </c>
      <c r="F20" s="3">
        <v>960</v>
      </c>
      <c r="G20" s="3"/>
      <c r="H20" s="7">
        <f>DATEVALUE(LEFT(Table5[[#This Row],[Date]],10))</f>
        <v>45334</v>
      </c>
      <c r="I20" t="str">
        <f t="shared" si="5"/>
        <v>West</v>
      </c>
      <c r="J20" t="str">
        <f t="shared" si="6"/>
        <v>Home Goods</v>
      </c>
      <c r="K20" t="str">
        <f t="shared" si="7"/>
        <v>Vacuum</v>
      </c>
      <c r="L20" s="3">
        <f t="shared" si="8"/>
        <v>7680</v>
      </c>
    </row>
    <row r="21" spans="1:12" x14ac:dyDescent="0.3">
      <c r="A21" s="6" t="s">
        <v>79</v>
      </c>
      <c r="B21" t="s">
        <v>9</v>
      </c>
      <c r="C21" t="s">
        <v>10</v>
      </c>
      <c r="D21" t="s">
        <v>21</v>
      </c>
      <c r="E21" s="1">
        <v>12</v>
      </c>
      <c r="F21" s="3">
        <v>82</v>
      </c>
      <c r="G21" s="3"/>
      <c r="H21" s="7">
        <f>DATEVALUE(LEFT(Table5[[#This Row],[Date]],10))</f>
        <v>45337</v>
      </c>
      <c r="I21" t="str">
        <f t="shared" si="5"/>
        <v>West</v>
      </c>
      <c r="J21" t="str">
        <f t="shared" si="6"/>
        <v>Electronics</v>
      </c>
      <c r="K21" t="str">
        <f t="shared" si="7"/>
        <v>Phone</v>
      </c>
      <c r="L21" s="3">
        <f t="shared" si="8"/>
        <v>984</v>
      </c>
    </row>
    <row r="22" spans="1:12" x14ac:dyDescent="0.3">
      <c r="A22" s="6" t="s">
        <v>79</v>
      </c>
      <c r="B22" t="s">
        <v>31</v>
      </c>
      <c r="C22" t="s">
        <v>10</v>
      </c>
      <c r="D22" t="s">
        <v>21</v>
      </c>
      <c r="E22" s="1">
        <v>9</v>
      </c>
      <c r="F22" s="3">
        <v>375</v>
      </c>
      <c r="G22" s="3"/>
      <c r="H22" s="7">
        <f>DATEVALUE(LEFT(Table5[[#This Row],[Date]],10))</f>
        <v>45337</v>
      </c>
      <c r="I22" t="str">
        <f t="shared" si="5"/>
        <v>West</v>
      </c>
      <c r="J22" t="str">
        <f t="shared" si="6"/>
        <v>Electronics</v>
      </c>
      <c r="K22" t="str">
        <f t="shared" si="7"/>
        <v>Phone</v>
      </c>
      <c r="L22" s="3">
        <f t="shared" si="8"/>
        <v>3375</v>
      </c>
    </row>
    <row r="23" spans="1:12" x14ac:dyDescent="0.3">
      <c r="A23" s="6" t="s">
        <v>140</v>
      </c>
      <c r="B23" t="s">
        <v>20</v>
      </c>
      <c r="C23" t="s">
        <v>6</v>
      </c>
      <c r="D23" t="s">
        <v>11</v>
      </c>
      <c r="E23" s="1">
        <v>12</v>
      </c>
      <c r="F23" s="3">
        <v>53</v>
      </c>
      <c r="G23" s="3"/>
      <c r="H23" s="7">
        <f>DATEVALUE(LEFT(Table5[[#This Row],[Date]],10))</f>
        <v>45340</v>
      </c>
      <c r="I23" t="str">
        <f t="shared" si="5"/>
        <v>South</v>
      </c>
      <c r="J23" t="str">
        <f t="shared" si="6"/>
        <v>Home Goods</v>
      </c>
      <c r="K23" t="str">
        <f t="shared" si="7"/>
        <v>Vacuum</v>
      </c>
      <c r="L23" s="3">
        <f t="shared" si="8"/>
        <v>636</v>
      </c>
    </row>
    <row r="24" spans="1:12" x14ac:dyDescent="0.3">
      <c r="A24" s="6" t="s">
        <v>144</v>
      </c>
      <c r="B24" t="s">
        <v>20</v>
      </c>
      <c r="C24" t="s">
        <v>149</v>
      </c>
      <c r="D24" t="s">
        <v>11</v>
      </c>
      <c r="E24" s="1">
        <v>10</v>
      </c>
      <c r="F24" s="3">
        <v>47</v>
      </c>
      <c r="G24" s="3"/>
      <c r="H24" s="7">
        <f>DATEVALUE(LEFT(Table5[[#This Row],[Date]],10))</f>
        <v>45349</v>
      </c>
      <c r="I24" t="str">
        <f t="shared" si="5"/>
        <v>South</v>
      </c>
      <c r="J24" t="str">
        <f t="shared" si="6"/>
        <v>Home Goods</v>
      </c>
      <c r="K24" t="str">
        <f t="shared" si="7"/>
        <v>Vacuum</v>
      </c>
      <c r="L24" s="3">
        <f t="shared" si="8"/>
        <v>470</v>
      </c>
    </row>
    <row r="25" spans="1:12" x14ac:dyDescent="0.3">
      <c r="A25" s="6" t="s">
        <v>68</v>
      </c>
      <c r="B25" t="s">
        <v>31</v>
      </c>
      <c r="C25" t="s">
        <v>6</v>
      </c>
      <c r="D25" t="s">
        <v>23</v>
      </c>
      <c r="E25" s="1">
        <v>6</v>
      </c>
      <c r="F25" s="3">
        <v>100</v>
      </c>
      <c r="G25" s="3"/>
      <c r="H25" s="7">
        <f>DATEVALUE(LEFT(Table5[[#This Row],[Date]],10))</f>
        <v>45353</v>
      </c>
      <c r="I25" t="str">
        <f t="shared" si="5"/>
        <v>West</v>
      </c>
      <c r="J25" t="str">
        <f t="shared" si="6"/>
        <v>Home Goods</v>
      </c>
      <c r="K25" t="str">
        <f t="shared" si="7"/>
        <v>Lamp</v>
      </c>
      <c r="L25" s="3">
        <f t="shared" si="8"/>
        <v>600</v>
      </c>
    </row>
    <row r="26" spans="1:12" x14ac:dyDescent="0.3">
      <c r="A26" s="6" t="s">
        <v>68</v>
      </c>
      <c r="B26" t="s">
        <v>27</v>
      </c>
      <c r="C26" t="s">
        <v>168</v>
      </c>
      <c r="D26" t="s">
        <v>11</v>
      </c>
      <c r="E26" s="1">
        <v>19</v>
      </c>
      <c r="F26" s="3">
        <v>516</v>
      </c>
      <c r="G26" s="3"/>
      <c r="H26" s="7">
        <f>DATEVALUE(LEFT(Table5[[#This Row],[Date]],10))</f>
        <v>45353</v>
      </c>
      <c r="I26" t="str">
        <f t="shared" si="5"/>
        <v>Northeast</v>
      </c>
      <c r="J26" t="str">
        <f t="shared" si="6"/>
        <v>Home Goods</v>
      </c>
      <c r="K26" t="str">
        <f t="shared" si="7"/>
        <v>Vacuum</v>
      </c>
      <c r="L26" s="3">
        <f t="shared" si="8"/>
        <v>9804</v>
      </c>
    </row>
    <row r="27" spans="1:12" x14ac:dyDescent="0.3">
      <c r="A27" s="6" t="s">
        <v>110</v>
      </c>
      <c r="B27" t="s">
        <v>24</v>
      </c>
      <c r="C27" t="s">
        <v>10</v>
      </c>
      <c r="D27" t="s">
        <v>25</v>
      </c>
      <c r="E27" s="1">
        <v>9</v>
      </c>
      <c r="F27" s="3">
        <v>331</v>
      </c>
      <c r="G27" s="3"/>
      <c r="H27" s="7">
        <f>DATEVALUE(LEFT(Table5[[#This Row],[Date]],10))</f>
        <v>45356</v>
      </c>
      <c r="I27" t="str">
        <f t="shared" si="5"/>
        <v>Midwest</v>
      </c>
      <c r="J27" t="str">
        <f t="shared" si="6"/>
        <v>Electronics</v>
      </c>
      <c r="K27" t="str">
        <f t="shared" si="7"/>
        <v>Tablet</v>
      </c>
      <c r="L27" s="3">
        <f t="shared" si="8"/>
        <v>2979</v>
      </c>
    </row>
    <row r="28" spans="1:12" x14ac:dyDescent="0.3">
      <c r="A28" s="6" t="s">
        <v>72</v>
      </c>
      <c r="B28" t="s">
        <v>20</v>
      </c>
      <c r="C28" t="s">
        <v>168</v>
      </c>
      <c r="D28" t="s">
        <v>11</v>
      </c>
      <c r="E28" s="1">
        <v>2</v>
      </c>
      <c r="F28" s="3">
        <v>921</v>
      </c>
      <c r="G28" s="3"/>
      <c r="H28" s="7">
        <f>DATEVALUE(LEFT(Table5[[#This Row],[Date]],10))</f>
        <v>45361</v>
      </c>
      <c r="I28" t="str">
        <f t="shared" si="5"/>
        <v>South</v>
      </c>
      <c r="J28" t="str">
        <f t="shared" si="6"/>
        <v>Home Goods</v>
      </c>
      <c r="K28" t="str">
        <f t="shared" si="7"/>
        <v>Vacuum</v>
      </c>
      <c r="L28" s="3">
        <f t="shared" si="8"/>
        <v>1842</v>
      </c>
    </row>
    <row r="29" spans="1:12" x14ac:dyDescent="0.3">
      <c r="A29" s="6" t="s">
        <v>121</v>
      </c>
      <c r="B29" t="s">
        <v>31</v>
      </c>
      <c r="C29" t="s">
        <v>168</v>
      </c>
      <c r="D29" t="s">
        <v>23</v>
      </c>
      <c r="E29" s="1">
        <v>15</v>
      </c>
      <c r="F29" s="3">
        <v>195</v>
      </c>
      <c r="G29" s="3"/>
      <c r="H29" s="7">
        <f>DATEVALUE(LEFT(Table5[[#This Row],[Date]],10))</f>
        <v>45363</v>
      </c>
      <c r="I29" t="str">
        <f t="shared" si="5"/>
        <v>West</v>
      </c>
      <c r="J29" t="str">
        <f t="shared" si="6"/>
        <v>Home Goods</v>
      </c>
      <c r="K29" t="str">
        <f t="shared" si="7"/>
        <v>Lamp</v>
      </c>
      <c r="L29" s="3">
        <f t="shared" si="8"/>
        <v>2925</v>
      </c>
    </row>
    <row r="30" spans="1:12" x14ac:dyDescent="0.3">
      <c r="A30" s="6" t="s">
        <v>87</v>
      </c>
      <c r="B30" t="s">
        <v>27</v>
      </c>
      <c r="C30" t="s">
        <v>10</v>
      </c>
      <c r="D30" t="s">
        <v>25</v>
      </c>
      <c r="E30" s="1">
        <v>5</v>
      </c>
      <c r="F30" s="3">
        <v>267</v>
      </c>
      <c r="G30" s="3"/>
      <c r="H30" s="7">
        <f>DATEVALUE(LEFT(Table5[[#This Row],[Date]],10))</f>
        <v>45365</v>
      </c>
      <c r="I30" t="str">
        <f t="shared" si="5"/>
        <v>Northeast</v>
      </c>
      <c r="J30" t="str">
        <f t="shared" si="6"/>
        <v>Electronics</v>
      </c>
      <c r="K30" t="str">
        <f t="shared" si="7"/>
        <v>Tablet</v>
      </c>
      <c r="L30" s="3">
        <f t="shared" si="8"/>
        <v>1335</v>
      </c>
    </row>
    <row r="31" spans="1:12" x14ac:dyDescent="0.3">
      <c r="A31" s="6" t="s">
        <v>70</v>
      </c>
      <c r="B31" t="s">
        <v>9</v>
      </c>
      <c r="C31" t="s">
        <v>149</v>
      </c>
      <c r="D31" t="s">
        <v>11</v>
      </c>
      <c r="E31" s="1">
        <v>5</v>
      </c>
      <c r="F31" s="3">
        <v>568</v>
      </c>
      <c r="G31" s="3"/>
      <c r="H31" s="7">
        <f>DATEVALUE(LEFT(Table5[[#This Row],[Date]],10))</f>
        <v>45366</v>
      </c>
      <c r="I31" t="str">
        <f t="shared" si="5"/>
        <v>West</v>
      </c>
      <c r="J31" t="str">
        <f t="shared" si="6"/>
        <v>Home Goods</v>
      </c>
      <c r="K31" t="str">
        <f t="shared" si="7"/>
        <v>Vacuum</v>
      </c>
      <c r="L31" s="3">
        <f t="shared" si="8"/>
        <v>2840</v>
      </c>
    </row>
    <row r="32" spans="1:12" x14ac:dyDescent="0.3">
      <c r="A32" s="6" t="s">
        <v>70</v>
      </c>
      <c r="B32" t="s">
        <v>9</v>
      </c>
      <c r="C32" t="s">
        <v>10</v>
      </c>
      <c r="D32" t="s">
        <v>21</v>
      </c>
      <c r="E32" s="1">
        <v>6</v>
      </c>
      <c r="F32" s="3">
        <v>580</v>
      </c>
      <c r="G32" s="3"/>
      <c r="H32" s="7">
        <f>DATEVALUE(LEFT(Table5[[#This Row],[Date]],10))</f>
        <v>45366</v>
      </c>
      <c r="I32" t="str">
        <f t="shared" si="5"/>
        <v>West</v>
      </c>
      <c r="J32" t="str">
        <f t="shared" si="6"/>
        <v>Electronics</v>
      </c>
      <c r="K32" t="str">
        <f t="shared" si="7"/>
        <v>Phone</v>
      </c>
      <c r="L32" s="3">
        <f t="shared" si="8"/>
        <v>3480</v>
      </c>
    </row>
    <row r="33" spans="1:12" x14ac:dyDescent="0.3">
      <c r="A33" s="6" t="s">
        <v>35</v>
      </c>
      <c r="B33" t="s">
        <v>13</v>
      </c>
      <c r="C33" t="s">
        <v>18</v>
      </c>
      <c r="D33" t="s">
        <v>21</v>
      </c>
      <c r="E33" s="1">
        <v>2</v>
      </c>
      <c r="F33" s="3">
        <v>351</v>
      </c>
      <c r="G33" s="3"/>
      <c r="H33" s="7">
        <f>DATEVALUE(LEFT(Table5[[#This Row],[Date]],10))</f>
        <v>45369</v>
      </c>
      <c r="I33" t="str">
        <f t="shared" si="5"/>
        <v>West</v>
      </c>
      <c r="J33" t="str">
        <f t="shared" si="6"/>
        <v>Electronics</v>
      </c>
      <c r="K33" t="str">
        <f t="shared" si="7"/>
        <v>Phone</v>
      </c>
      <c r="L33" s="3">
        <f t="shared" si="8"/>
        <v>702</v>
      </c>
    </row>
    <row r="34" spans="1:12" x14ac:dyDescent="0.3">
      <c r="A34" s="6" t="s">
        <v>134</v>
      </c>
      <c r="B34" t="s">
        <v>9</v>
      </c>
      <c r="C34" t="s">
        <v>14</v>
      </c>
      <c r="D34" t="s">
        <v>12</v>
      </c>
      <c r="E34" s="1">
        <v>15</v>
      </c>
      <c r="F34" s="3">
        <v>709</v>
      </c>
      <c r="G34" s="3"/>
      <c r="H34" s="7">
        <f>DATEVALUE(LEFT(Table5[[#This Row],[Date]],10))</f>
        <v>45370</v>
      </c>
      <c r="I34" t="str">
        <f t="shared" si="5"/>
        <v>West</v>
      </c>
      <c r="J34" t="str">
        <f t="shared" si="6"/>
        <v>Clothing</v>
      </c>
      <c r="K34" t="str">
        <f t="shared" si="7"/>
        <v>Jeans</v>
      </c>
      <c r="L34" s="3">
        <f t="shared" si="8"/>
        <v>10635</v>
      </c>
    </row>
    <row r="35" spans="1:12" x14ac:dyDescent="0.3">
      <c r="A35" s="6" t="s">
        <v>125</v>
      </c>
      <c r="B35" t="s">
        <v>27</v>
      </c>
      <c r="C35" t="s">
        <v>6</v>
      </c>
      <c r="D35" t="s">
        <v>11</v>
      </c>
      <c r="E35" s="1">
        <v>4</v>
      </c>
      <c r="F35" s="3">
        <v>1128</v>
      </c>
      <c r="G35" s="3"/>
      <c r="H35" s="7">
        <f>DATEVALUE(LEFT(Table5[[#This Row],[Date]],10))</f>
        <v>45372</v>
      </c>
      <c r="I35" t="str">
        <f t="shared" si="5"/>
        <v>Northeast</v>
      </c>
      <c r="J35" t="str">
        <f t="shared" si="6"/>
        <v>Home Goods</v>
      </c>
      <c r="K35" t="str">
        <f t="shared" si="7"/>
        <v>Vacuum</v>
      </c>
      <c r="L35" s="3">
        <f t="shared" si="8"/>
        <v>4512</v>
      </c>
    </row>
    <row r="36" spans="1:12" x14ac:dyDescent="0.3">
      <c r="A36" s="6" t="s">
        <v>60</v>
      </c>
      <c r="B36" t="s">
        <v>9</v>
      </c>
      <c r="C36" t="s">
        <v>149</v>
      </c>
      <c r="D36" t="s">
        <v>11</v>
      </c>
      <c r="E36" s="1">
        <v>3</v>
      </c>
      <c r="F36" s="3">
        <v>96</v>
      </c>
      <c r="G36" s="3"/>
      <c r="H36" s="7">
        <f>DATEVALUE(LEFT(Table5[[#This Row],[Date]],10))</f>
        <v>45373</v>
      </c>
      <c r="I36" t="str">
        <f t="shared" si="5"/>
        <v>West</v>
      </c>
      <c r="J36" t="str">
        <f t="shared" si="6"/>
        <v>Home Goods</v>
      </c>
      <c r="K36" t="str">
        <f t="shared" si="7"/>
        <v>Vacuum</v>
      </c>
      <c r="L36" s="3">
        <f t="shared" si="8"/>
        <v>288</v>
      </c>
    </row>
    <row r="37" spans="1:12" x14ac:dyDescent="0.3">
      <c r="A37" s="6" t="s">
        <v>86</v>
      </c>
      <c r="B37" t="s">
        <v>24</v>
      </c>
      <c r="C37" t="s">
        <v>10</v>
      </c>
      <c r="D37" t="s">
        <v>15</v>
      </c>
      <c r="E37" s="1">
        <v>18</v>
      </c>
      <c r="F37" s="3">
        <v>716</v>
      </c>
      <c r="G37" s="3"/>
      <c r="H37" s="7">
        <f>DATEVALUE(LEFT(Table5[[#This Row],[Date]],10))</f>
        <v>45374</v>
      </c>
      <c r="I37" t="str">
        <f t="shared" si="5"/>
        <v>Midwest</v>
      </c>
      <c r="J37" t="str">
        <f t="shared" si="6"/>
        <v>Electronics</v>
      </c>
      <c r="K37" t="str">
        <f t="shared" si="7"/>
        <v>Laptop</v>
      </c>
      <c r="L37" s="3">
        <f t="shared" si="8"/>
        <v>12888</v>
      </c>
    </row>
    <row r="38" spans="1:12" x14ac:dyDescent="0.3">
      <c r="A38" s="6" t="s">
        <v>74</v>
      </c>
      <c r="B38" t="s">
        <v>9</v>
      </c>
      <c r="C38" t="s">
        <v>14</v>
      </c>
      <c r="D38" t="s">
        <v>12</v>
      </c>
      <c r="E38" s="1">
        <v>18</v>
      </c>
      <c r="F38" s="3">
        <v>843</v>
      </c>
      <c r="G38" s="3"/>
      <c r="H38" s="7">
        <f>DATEVALUE(LEFT(Table5[[#This Row],[Date]],10))</f>
        <v>45377</v>
      </c>
      <c r="I38" t="str">
        <f t="shared" si="5"/>
        <v>West</v>
      </c>
      <c r="J38" t="str">
        <f t="shared" si="6"/>
        <v>Clothing</v>
      </c>
      <c r="K38" t="str">
        <f t="shared" si="7"/>
        <v>Jeans</v>
      </c>
      <c r="L38" s="3">
        <f t="shared" si="8"/>
        <v>15174</v>
      </c>
    </row>
    <row r="39" spans="1:12" x14ac:dyDescent="0.3">
      <c r="A39" s="6" t="s">
        <v>112</v>
      </c>
      <c r="B39" t="s">
        <v>27</v>
      </c>
      <c r="C39" t="s">
        <v>149</v>
      </c>
      <c r="D39" t="s">
        <v>11</v>
      </c>
      <c r="E39" s="1">
        <v>5</v>
      </c>
      <c r="F39" s="3">
        <v>536</v>
      </c>
      <c r="G39" s="3"/>
      <c r="H39" s="7">
        <f>DATEVALUE(LEFT(Table5[[#This Row],[Date]],10))</f>
        <v>45394</v>
      </c>
      <c r="I39" t="str">
        <f t="shared" ref="I39:I58" si="9">PROPER(TRIM(B39))</f>
        <v>Northeast</v>
      </c>
      <c r="J39" t="str">
        <f t="shared" ref="J39:J58" si="10">PROPER(TRIM(C39))</f>
        <v>Home Goods</v>
      </c>
      <c r="K39" t="str">
        <f t="shared" ref="K39:K58" si="11">PROPER(TRIM(D39))</f>
        <v>Vacuum</v>
      </c>
      <c r="L39" s="3">
        <f t="shared" ref="L39:L58" si="12">F39*E39</f>
        <v>2680</v>
      </c>
    </row>
    <row r="40" spans="1:12" x14ac:dyDescent="0.3">
      <c r="A40" s="6" t="s">
        <v>112</v>
      </c>
      <c r="B40" t="s">
        <v>13</v>
      </c>
      <c r="C40" t="s">
        <v>6</v>
      </c>
      <c r="D40" t="s">
        <v>11</v>
      </c>
      <c r="E40" s="1">
        <v>19</v>
      </c>
      <c r="F40" s="3">
        <v>1072</v>
      </c>
      <c r="G40" s="3"/>
      <c r="H40" s="7">
        <f>DATEVALUE(LEFT(Table5[[#This Row],[Date]],10))</f>
        <v>45394</v>
      </c>
      <c r="I40" t="str">
        <f t="shared" si="9"/>
        <v>West</v>
      </c>
      <c r="J40" t="str">
        <f t="shared" si="10"/>
        <v>Home Goods</v>
      </c>
      <c r="K40" t="str">
        <f t="shared" si="11"/>
        <v>Vacuum</v>
      </c>
      <c r="L40" s="3">
        <f t="shared" si="12"/>
        <v>20368</v>
      </c>
    </row>
    <row r="41" spans="1:12" x14ac:dyDescent="0.3">
      <c r="A41" s="6" t="s">
        <v>51</v>
      </c>
      <c r="B41" t="s">
        <v>9</v>
      </c>
      <c r="C41" t="s">
        <v>10</v>
      </c>
      <c r="D41" t="s">
        <v>25</v>
      </c>
      <c r="E41" s="1">
        <v>12</v>
      </c>
      <c r="F41" s="3">
        <v>917</v>
      </c>
      <c r="G41" s="3"/>
      <c r="H41" s="7">
        <f>DATEVALUE(LEFT(Table5[[#This Row],[Date]],10))</f>
        <v>45395</v>
      </c>
      <c r="I41" t="str">
        <f t="shared" si="9"/>
        <v>West</v>
      </c>
      <c r="J41" t="str">
        <f t="shared" si="10"/>
        <v>Electronics</v>
      </c>
      <c r="K41" t="str">
        <f t="shared" si="11"/>
        <v>Tablet</v>
      </c>
      <c r="L41" s="3">
        <f t="shared" si="12"/>
        <v>11004</v>
      </c>
    </row>
    <row r="42" spans="1:12" x14ac:dyDescent="0.3">
      <c r="A42" s="6" t="s">
        <v>93</v>
      </c>
      <c r="B42" t="s">
        <v>9</v>
      </c>
      <c r="C42" t="s">
        <v>6</v>
      </c>
      <c r="D42" t="s">
        <v>15</v>
      </c>
      <c r="E42" s="1">
        <v>19</v>
      </c>
      <c r="F42" s="3">
        <v>136</v>
      </c>
      <c r="G42" s="3"/>
      <c r="H42" s="7">
        <f>DATEVALUE(LEFT(Table5[[#This Row],[Date]],10))</f>
        <v>45397</v>
      </c>
      <c r="I42" t="str">
        <f t="shared" si="9"/>
        <v>West</v>
      </c>
      <c r="J42" t="str">
        <f t="shared" si="10"/>
        <v>Home Goods</v>
      </c>
      <c r="K42" t="str">
        <f t="shared" si="11"/>
        <v>Laptop</v>
      </c>
      <c r="L42" s="3">
        <f t="shared" si="12"/>
        <v>2584</v>
      </c>
    </row>
    <row r="43" spans="1:12" x14ac:dyDescent="0.3">
      <c r="A43" s="6" t="s">
        <v>93</v>
      </c>
      <c r="B43" t="s">
        <v>9</v>
      </c>
      <c r="C43" t="s">
        <v>14</v>
      </c>
      <c r="D43" t="s">
        <v>7</v>
      </c>
      <c r="E43" s="1">
        <v>6</v>
      </c>
      <c r="F43" s="3">
        <v>538</v>
      </c>
      <c r="G43" s="3"/>
      <c r="H43" s="7">
        <f>DATEVALUE(LEFT(Table5[[#This Row],[Date]],10))</f>
        <v>45397</v>
      </c>
      <c r="I43" t="str">
        <f t="shared" si="9"/>
        <v>West</v>
      </c>
      <c r="J43" t="str">
        <f t="shared" si="10"/>
        <v>Clothing</v>
      </c>
      <c r="K43" t="str">
        <f t="shared" si="11"/>
        <v>T-Shirt</v>
      </c>
      <c r="L43" s="3">
        <f t="shared" si="12"/>
        <v>3228</v>
      </c>
    </row>
    <row r="44" spans="1:12" x14ac:dyDescent="0.3">
      <c r="A44" s="6" t="s">
        <v>128</v>
      </c>
      <c r="B44" t="s">
        <v>13</v>
      </c>
      <c r="C44" t="s">
        <v>18</v>
      </c>
      <c r="D44" t="s">
        <v>25</v>
      </c>
      <c r="E44" s="1">
        <v>5</v>
      </c>
      <c r="F44" s="3">
        <v>474</v>
      </c>
      <c r="G44" s="3"/>
      <c r="H44" s="7">
        <f>DATEVALUE(LEFT(Table5[[#This Row],[Date]],10))</f>
        <v>45400</v>
      </c>
      <c r="I44" t="str">
        <f t="shared" si="9"/>
        <v>West</v>
      </c>
      <c r="J44" t="str">
        <f t="shared" si="10"/>
        <v>Electronics</v>
      </c>
      <c r="K44" t="str">
        <f t="shared" si="11"/>
        <v>Tablet</v>
      </c>
      <c r="L44" s="3">
        <f t="shared" si="12"/>
        <v>2370</v>
      </c>
    </row>
    <row r="45" spans="1:12" x14ac:dyDescent="0.3">
      <c r="A45" s="6" t="s">
        <v>141</v>
      </c>
      <c r="B45" t="s">
        <v>27</v>
      </c>
      <c r="C45" t="s">
        <v>149</v>
      </c>
      <c r="D45" t="s">
        <v>11</v>
      </c>
      <c r="E45" s="1">
        <v>16</v>
      </c>
      <c r="F45" s="3">
        <v>900</v>
      </c>
      <c r="G45" s="3"/>
      <c r="H45" s="7">
        <f>DATEVALUE(LEFT(Table5[[#This Row],[Date]],10))</f>
        <v>45403</v>
      </c>
      <c r="I45" t="str">
        <f t="shared" si="9"/>
        <v>Northeast</v>
      </c>
      <c r="J45" t="str">
        <f t="shared" si="10"/>
        <v>Home Goods</v>
      </c>
      <c r="K45" t="str">
        <f t="shared" si="11"/>
        <v>Vacuum</v>
      </c>
      <c r="L45" s="3">
        <f t="shared" si="12"/>
        <v>14400</v>
      </c>
    </row>
    <row r="46" spans="1:12" x14ac:dyDescent="0.3">
      <c r="A46" s="6" t="s">
        <v>66</v>
      </c>
      <c r="B46" t="s">
        <v>27</v>
      </c>
      <c r="C46" t="s">
        <v>168</v>
      </c>
      <c r="D46" t="s">
        <v>11</v>
      </c>
      <c r="E46" s="1">
        <v>13</v>
      </c>
      <c r="F46" s="3">
        <v>732</v>
      </c>
      <c r="G46" s="3"/>
      <c r="H46" s="7">
        <f>DATEVALUE(LEFT(Table5[[#This Row],[Date]],10))</f>
        <v>45409</v>
      </c>
      <c r="I46" t="str">
        <f t="shared" si="9"/>
        <v>Northeast</v>
      </c>
      <c r="J46" t="str">
        <f t="shared" si="10"/>
        <v>Home Goods</v>
      </c>
      <c r="K46" t="str">
        <f t="shared" si="11"/>
        <v>Vacuum</v>
      </c>
      <c r="L46" s="3">
        <f t="shared" si="12"/>
        <v>9516</v>
      </c>
    </row>
    <row r="47" spans="1:12" x14ac:dyDescent="0.3">
      <c r="A47" s="6" t="s">
        <v>66</v>
      </c>
      <c r="B47" t="s">
        <v>20</v>
      </c>
      <c r="C47" t="s">
        <v>14</v>
      </c>
      <c r="D47" t="s">
        <v>12</v>
      </c>
      <c r="E47" s="1">
        <v>2</v>
      </c>
      <c r="F47" s="3">
        <v>1126</v>
      </c>
      <c r="G47" s="3"/>
      <c r="H47" s="7">
        <f>DATEVALUE(LEFT(Table5[[#This Row],[Date]],10))</f>
        <v>45409</v>
      </c>
      <c r="I47" t="str">
        <f t="shared" si="9"/>
        <v>South</v>
      </c>
      <c r="J47" t="str">
        <f t="shared" si="10"/>
        <v>Clothing</v>
      </c>
      <c r="K47" t="str">
        <f t="shared" si="11"/>
        <v>Jeans</v>
      </c>
      <c r="L47" s="3">
        <f t="shared" si="12"/>
        <v>2252</v>
      </c>
    </row>
    <row r="48" spans="1:12" x14ac:dyDescent="0.3">
      <c r="A48" s="6" t="s">
        <v>88</v>
      </c>
      <c r="B48" t="s">
        <v>24</v>
      </c>
      <c r="C48" t="s">
        <v>6</v>
      </c>
      <c r="D48" t="s">
        <v>15</v>
      </c>
      <c r="E48" s="1">
        <v>7</v>
      </c>
      <c r="F48" s="3">
        <v>741</v>
      </c>
      <c r="G48" s="3"/>
      <c r="H48" s="7">
        <f>DATEVALUE(LEFT(Table5[[#This Row],[Date]],10))</f>
        <v>45410</v>
      </c>
      <c r="I48" t="str">
        <f t="shared" si="9"/>
        <v>Midwest</v>
      </c>
      <c r="J48" t="str">
        <f t="shared" si="10"/>
        <v>Home Goods</v>
      </c>
      <c r="K48" t="str">
        <f t="shared" si="11"/>
        <v>Laptop</v>
      </c>
      <c r="L48" s="3">
        <f t="shared" si="12"/>
        <v>5187</v>
      </c>
    </row>
    <row r="49" spans="1:12" x14ac:dyDescent="0.3">
      <c r="A49" s="6" t="s">
        <v>37</v>
      </c>
      <c r="B49" t="s">
        <v>13</v>
      </c>
      <c r="C49" t="s">
        <v>149</v>
      </c>
      <c r="D49" t="s">
        <v>23</v>
      </c>
      <c r="E49" s="1">
        <v>5</v>
      </c>
      <c r="F49" s="3">
        <v>279</v>
      </c>
      <c r="G49" s="3"/>
      <c r="H49" s="7">
        <f>DATEVALUE(LEFT(Table5[[#This Row],[Date]],10))</f>
        <v>45413</v>
      </c>
      <c r="I49" t="str">
        <f t="shared" si="9"/>
        <v>West</v>
      </c>
      <c r="J49" t="str">
        <f t="shared" si="10"/>
        <v>Home Goods</v>
      </c>
      <c r="K49" t="str">
        <f t="shared" si="11"/>
        <v>Lamp</v>
      </c>
      <c r="L49" s="3">
        <f t="shared" si="12"/>
        <v>1395</v>
      </c>
    </row>
    <row r="50" spans="1:12" x14ac:dyDescent="0.3">
      <c r="A50" s="6" t="s">
        <v>22</v>
      </c>
      <c r="B50" t="s">
        <v>27</v>
      </c>
      <c r="C50" t="s">
        <v>169</v>
      </c>
      <c r="D50" t="s">
        <v>12</v>
      </c>
      <c r="E50" s="1">
        <v>18</v>
      </c>
      <c r="F50" s="3">
        <v>280</v>
      </c>
      <c r="G50" s="3"/>
      <c r="H50" s="7">
        <f>DATEVALUE(LEFT(Table5[[#This Row],[Date]],10))</f>
        <v>45415</v>
      </c>
      <c r="I50" t="str">
        <f t="shared" si="9"/>
        <v>Northeast</v>
      </c>
      <c r="J50" t="str">
        <f t="shared" si="10"/>
        <v>Clothing</v>
      </c>
      <c r="K50" t="str">
        <f t="shared" si="11"/>
        <v>Jeans</v>
      </c>
      <c r="L50" s="3">
        <f t="shared" si="12"/>
        <v>5040</v>
      </c>
    </row>
    <row r="51" spans="1:12" x14ac:dyDescent="0.3">
      <c r="A51" s="6" t="s">
        <v>36</v>
      </c>
      <c r="B51" t="s">
        <v>24</v>
      </c>
      <c r="C51" t="s">
        <v>149</v>
      </c>
      <c r="D51" t="s">
        <v>23</v>
      </c>
      <c r="E51" s="1">
        <v>13</v>
      </c>
      <c r="F51" s="3">
        <v>447</v>
      </c>
      <c r="G51" s="3"/>
      <c r="H51" s="7">
        <f>DATEVALUE(LEFT(Table5[[#This Row],[Date]],10))</f>
        <v>45417</v>
      </c>
      <c r="I51" t="str">
        <f t="shared" si="9"/>
        <v>Midwest</v>
      </c>
      <c r="J51" t="str">
        <f t="shared" si="10"/>
        <v>Home Goods</v>
      </c>
      <c r="K51" t="str">
        <f t="shared" si="11"/>
        <v>Lamp</v>
      </c>
      <c r="L51" s="3">
        <f t="shared" si="12"/>
        <v>5811</v>
      </c>
    </row>
    <row r="52" spans="1:12" x14ac:dyDescent="0.3">
      <c r="A52" s="6" t="s">
        <v>36</v>
      </c>
      <c r="B52" t="s">
        <v>9</v>
      </c>
      <c r="C52" t="s">
        <v>18</v>
      </c>
      <c r="D52" t="s">
        <v>15</v>
      </c>
      <c r="E52" s="1">
        <v>16</v>
      </c>
      <c r="F52" s="3">
        <v>1185</v>
      </c>
      <c r="G52" s="3"/>
      <c r="H52" s="7">
        <f>DATEVALUE(LEFT(Table5[[#This Row],[Date]],10))</f>
        <v>45417</v>
      </c>
      <c r="I52" t="str">
        <f t="shared" si="9"/>
        <v>West</v>
      </c>
      <c r="J52" t="str">
        <f t="shared" si="10"/>
        <v>Electronics</v>
      </c>
      <c r="K52" t="str">
        <f t="shared" si="11"/>
        <v>Laptop</v>
      </c>
      <c r="L52" s="3">
        <f t="shared" si="12"/>
        <v>18960</v>
      </c>
    </row>
    <row r="53" spans="1:12" x14ac:dyDescent="0.3">
      <c r="A53" s="6" t="s">
        <v>40</v>
      </c>
      <c r="B53" t="s">
        <v>24</v>
      </c>
      <c r="C53" t="s">
        <v>10</v>
      </c>
      <c r="D53" t="s">
        <v>25</v>
      </c>
      <c r="E53" s="1">
        <v>18</v>
      </c>
      <c r="F53" s="3">
        <v>796</v>
      </c>
      <c r="G53" s="3"/>
      <c r="H53" s="7">
        <f>DATEVALUE(LEFT(Table5[[#This Row],[Date]],10))</f>
        <v>45418</v>
      </c>
      <c r="I53" t="str">
        <f t="shared" si="9"/>
        <v>Midwest</v>
      </c>
      <c r="J53" t="str">
        <f t="shared" si="10"/>
        <v>Electronics</v>
      </c>
      <c r="K53" t="str">
        <f t="shared" si="11"/>
        <v>Tablet</v>
      </c>
      <c r="L53" s="3">
        <f t="shared" si="12"/>
        <v>14328</v>
      </c>
    </row>
    <row r="54" spans="1:12" x14ac:dyDescent="0.3">
      <c r="A54" s="6" t="s">
        <v>67</v>
      </c>
      <c r="B54" t="s">
        <v>9</v>
      </c>
      <c r="C54" t="s">
        <v>14</v>
      </c>
      <c r="D54" t="s">
        <v>7</v>
      </c>
      <c r="E54" s="1">
        <v>9</v>
      </c>
      <c r="F54" s="3">
        <v>1023</v>
      </c>
      <c r="G54" s="3"/>
      <c r="H54" s="7">
        <f>DATEVALUE(LEFT(Table5[[#This Row],[Date]],10))</f>
        <v>45419</v>
      </c>
      <c r="I54" t="str">
        <f t="shared" si="9"/>
        <v>West</v>
      </c>
      <c r="J54" t="str">
        <f t="shared" si="10"/>
        <v>Clothing</v>
      </c>
      <c r="K54" t="str">
        <f t="shared" si="11"/>
        <v>T-Shirt</v>
      </c>
      <c r="L54" s="3">
        <f t="shared" si="12"/>
        <v>9207</v>
      </c>
    </row>
    <row r="55" spans="1:12" x14ac:dyDescent="0.3">
      <c r="A55" s="6" t="s">
        <v>67</v>
      </c>
      <c r="B55" t="s">
        <v>27</v>
      </c>
      <c r="C55" t="s">
        <v>14</v>
      </c>
      <c r="D55" t="s">
        <v>7</v>
      </c>
      <c r="E55" s="1">
        <v>14</v>
      </c>
      <c r="F55" s="3">
        <v>746</v>
      </c>
      <c r="G55" s="3"/>
      <c r="H55" s="7">
        <f>DATEVALUE(LEFT(Table5[[#This Row],[Date]],10))</f>
        <v>45419</v>
      </c>
      <c r="I55" t="str">
        <f t="shared" si="9"/>
        <v>Northeast</v>
      </c>
      <c r="J55" t="str">
        <f t="shared" si="10"/>
        <v>Clothing</v>
      </c>
      <c r="K55" t="str">
        <f t="shared" si="11"/>
        <v>T-Shirt</v>
      </c>
      <c r="L55" s="3">
        <f t="shared" si="12"/>
        <v>10444</v>
      </c>
    </row>
    <row r="56" spans="1:12" x14ac:dyDescent="0.3">
      <c r="A56" s="6" t="s">
        <v>119</v>
      </c>
      <c r="B56" t="s">
        <v>9</v>
      </c>
      <c r="C56" t="s">
        <v>10</v>
      </c>
      <c r="D56" t="s">
        <v>21</v>
      </c>
      <c r="E56" s="1">
        <v>11</v>
      </c>
      <c r="F56" s="3">
        <v>964</v>
      </c>
      <c r="G56" s="3"/>
      <c r="H56" s="7">
        <f>DATEVALUE(LEFT(Table5[[#This Row],[Date]],10))</f>
        <v>45421</v>
      </c>
      <c r="I56" t="str">
        <f t="shared" si="9"/>
        <v>West</v>
      </c>
      <c r="J56" t="str">
        <f t="shared" si="10"/>
        <v>Electronics</v>
      </c>
      <c r="K56" t="str">
        <f t="shared" si="11"/>
        <v>Phone</v>
      </c>
      <c r="L56" s="3">
        <f t="shared" si="12"/>
        <v>10604</v>
      </c>
    </row>
    <row r="57" spans="1:12" x14ac:dyDescent="0.3">
      <c r="A57" s="6" t="s">
        <v>139</v>
      </c>
      <c r="B57" t="s">
        <v>27</v>
      </c>
      <c r="C57" t="s">
        <v>6</v>
      </c>
      <c r="D57" t="s">
        <v>11</v>
      </c>
      <c r="E57" s="1">
        <v>11</v>
      </c>
      <c r="F57" s="3">
        <v>342</v>
      </c>
      <c r="G57" s="3"/>
      <c r="H57" s="7">
        <f>DATEVALUE(LEFT(Table5[[#This Row],[Date]],10))</f>
        <v>45423</v>
      </c>
      <c r="I57" t="str">
        <f t="shared" si="9"/>
        <v>Northeast</v>
      </c>
      <c r="J57" t="str">
        <f t="shared" si="10"/>
        <v>Home Goods</v>
      </c>
      <c r="K57" t="str">
        <f t="shared" si="11"/>
        <v>Vacuum</v>
      </c>
      <c r="L57" s="3">
        <f t="shared" si="12"/>
        <v>3762</v>
      </c>
    </row>
    <row r="58" spans="1:12" x14ac:dyDescent="0.3">
      <c r="A58" s="6" t="s">
        <v>57</v>
      </c>
      <c r="B58" t="s">
        <v>27</v>
      </c>
      <c r="C58" t="s">
        <v>149</v>
      </c>
      <c r="D58" t="s">
        <v>11</v>
      </c>
      <c r="E58" s="1">
        <v>18</v>
      </c>
      <c r="F58" s="3">
        <v>1040</v>
      </c>
      <c r="G58" s="3"/>
      <c r="H58" s="7">
        <f>DATEVALUE(LEFT(Table5[[#This Row],[Date]],10))</f>
        <v>45424</v>
      </c>
      <c r="I58" t="str">
        <f t="shared" si="9"/>
        <v>Northeast</v>
      </c>
      <c r="J58" t="str">
        <f t="shared" si="10"/>
        <v>Home Goods</v>
      </c>
      <c r="K58" t="str">
        <f t="shared" si="11"/>
        <v>Vacuum</v>
      </c>
      <c r="L58" s="3">
        <f t="shared" si="12"/>
        <v>18720</v>
      </c>
    </row>
    <row r="59" spans="1:12" x14ac:dyDescent="0.3">
      <c r="A59" s="6" t="s">
        <v>133</v>
      </c>
      <c r="B59" t="s">
        <v>24</v>
      </c>
      <c r="C59" t="s">
        <v>10</v>
      </c>
      <c r="D59" t="s">
        <v>15</v>
      </c>
      <c r="E59" s="1">
        <v>17</v>
      </c>
      <c r="F59" s="3">
        <v>689</v>
      </c>
      <c r="G59" s="3"/>
      <c r="H59" s="7">
        <f>DATEVALUE(LEFT(Table5[[#This Row],[Date]],10))</f>
        <v>45428</v>
      </c>
      <c r="I59" t="str">
        <f t="shared" ref="I59:I82" si="13">PROPER(TRIM(B59))</f>
        <v>Midwest</v>
      </c>
      <c r="J59" t="str">
        <f t="shared" ref="J59:J82" si="14">PROPER(TRIM(C59))</f>
        <v>Electronics</v>
      </c>
      <c r="K59" t="str">
        <f t="shared" ref="K59:K82" si="15">PROPER(TRIM(D59))</f>
        <v>Laptop</v>
      </c>
      <c r="L59" s="3">
        <f t="shared" ref="L59:L82" si="16">F59*E59</f>
        <v>11713</v>
      </c>
    </row>
    <row r="60" spans="1:12" x14ac:dyDescent="0.3">
      <c r="A60" s="6" t="s">
        <v>64</v>
      </c>
      <c r="B60" t="s">
        <v>27</v>
      </c>
      <c r="C60" t="s">
        <v>18</v>
      </c>
      <c r="D60" t="s">
        <v>21</v>
      </c>
      <c r="E60" s="1">
        <v>10</v>
      </c>
      <c r="F60" s="3">
        <v>502</v>
      </c>
      <c r="G60" s="3"/>
      <c r="H60" s="7">
        <f>DATEVALUE(LEFT(Table5[[#This Row],[Date]],10))</f>
        <v>45429</v>
      </c>
      <c r="I60" t="str">
        <f t="shared" si="13"/>
        <v>Northeast</v>
      </c>
      <c r="J60" t="str">
        <f t="shared" si="14"/>
        <v>Electronics</v>
      </c>
      <c r="K60" t="str">
        <f t="shared" si="15"/>
        <v>Phone</v>
      </c>
      <c r="L60" s="3">
        <f t="shared" si="16"/>
        <v>5020</v>
      </c>
    </row>
    <row r="61" spans="1:12" x14ac:dyDescent="0.3">
      <c r="A61" s="6" t="s">
        <v>81</v>
      </c>
      <c r="B61" t="s">
        <v>13</v>
      </c>
      <c r="C61" t="s">
        <v>18</v>
      </c>
      <c r="D61" t="s">
        <v>21</v>
      </c>
      <c r="E61" s="1">
        <v>7</v>
      </c>
      <c r="F61" s="3">
        <v>67</v>
      </c>
      <c r="G61" s="3"/>
      <c r="H61" s="7">
        <f>DATEVALUE(LEFT(Table5[[#This Row],[Date]],10))</f>
        <v>45435</v>
      </c>
      <c r="I61" t="str">
        <f t="shared" si="13"/>
        <v>West</v>
      </c>
      <c r="J61" t="str">
        <f t="shared" si="14"/>
        <v>Electronics</v>
      </c>
      <c r="K61" t="str">
        <f t="shared" si="15"/>
        <v>Phone</v>
      </c>
      <c r="L61" s="3">
        <f t="shared" si="16"/>
        <v>469</v>
      </c>
    </row>
    <row r="62" spans="1:12" x14ac:dyDescent="0.3">
      <c r="A62" s="6" t="s">
        <v>126</v>
      </c>
      <c r="B62" t="s">
        <v>20</v>
      </c>
      <c r="C62" t="s">
        <v>6</v>
      </c>
      <c r="D62" t="s">
        <v>23</v>
      </c>
      <c r="E62" s="1">
        <v>7</v>
      </c>
      <c r="F62" s="3">
        <v>454</v>
      </c>
      <c r="G62" s="3"/>
      <c r="H62" s="7">
        <f>DATEVALUE(LEFT(Table5[[#This Row],[Date]],10))</f>
        <v>45436</v>
      </c>
      <c r="I62" t="str">
        <f t="shared" si="13"/>
        <v>South</v>
      </c>
      <c r="J62" t="str">
        <f t="shared" si="14"/>
        <v>Home Goods</v>
      </c>
      <c r="K62" t="str">
        <f t="shared" si="15"/>
        <v>Lamp</v>
      </c>
      <c r="L62" s="3">
        <f t="shared" si="16"/>
        <v>3178</v>
      </c>
    </row>
    <row r="63" spans="1:12" x14ac:dyDescent="0.3">
      <c r="A63" s="6" t="s">
        <v>126</v>
      </c>
      <c r="B63" t="s">
        <v>9</v>
      </c>
      <c r="C63" t="s">
        <v>168</v>
      </c>
      <c r="D63" t="s">
        <v>11</v>
      </c>
      <c r="E63" s="1">
        <v>19</v>
      </c>
      <c r="F63" s="3">
        <v>735</v>
      </c>
      <c r="G63" s="3"/>
      <c r="H63" s="7">
        <f>DATEVALUE(LEFT(Table5[[#This Row],[Date]],10))</f>
        <v>45436</v>
      </c>
      <c r="I63" t="str">
        <f t="shared" si="13"/>
        <v>West</v>
      </c>
      <c r="J63" t="str">
        <f t="shared" si="14"/>
        <v>Home Goods</v>
      </c>
      <c r="K63" t="str">
        <f t="shared" si="15"/>
        <v>Vacuum</v>
      </c>
      <c r="L63" s="3">
        <f t="shared" si="16"/>
        <v>13965</v>
      </c>
    </row>
    <row r="64" spans="1:12" x14ac:dyDescent="0.3">
      <c r="A64" s="6" t="s">
        <v>44</v>
      </c>
      <c r="B64" t="s">
        <v>27</v>
      </c>
      <c r="C64" t="s">
        <v>10</v>
      </c>
      <c r="D64" t="s">
        <v>25</v>
      </c>
      <c r="E64" s="1">
        <v>15</v>
      </c>
      <c r="F64" s="3">
        <v>118</v>
      </c>
      <c r="G64" s="3"/>
      <c r="H64" s="7">
        <f>DATEVALUE(LEFT(Table5[[#This Row],[Date]],10))</f>
        <v>45439</v>
      </c>
      <c r="I64" t="str">
        <f t="shared" si="13"/>
        <v>Northeast</v>
      </c>
      <c r="J64" t="str">
        <f t="shared" si="14"/>
        <v>Electronics</v>
      </c>
      <c r="K64" t="str">
        <f t="shared" si="15"/>
        <v>Tablet</v>
      </c>
      <c r="L64" s="3">
        <f t="shared" si="16"/>
        <v>1770</v>
      </c>
    </row>
    <row r="65" spans="1:12" x14ac:dyDescent="0.3">
      <c r="A65" s="6" t="s">
        <v>19</v>
      </c>
      <c r="B65" t="s">
        <v>20</v>
      </c>
      <c r="C65" t="s">
        <v>18</v>
      </c>
      <c r="D65" t="s">
        <v>21</v>
      </c>
      <c r="E65" s="1">
        <v>2</v>
      </c>
      <c r="F65" s="3">
        <v>1063</v>
      </c>
      <c r="G65" s="3"/>
      <c r="H65" s="7">
        <f>DATEVALUE(LEFT(Table5[[#This Row],[Date]],10))</f>
        <v>45441</v>
      </c>
      <c r="I65" t="str">
        <f t="shared" si="13"/>
        <v>South</v>
      </c>
      <c r="J65" t="str">
        <f t="shared" si="14"/>
        <v>Electronics</v>
      </c>
      <c r="K65" t="str">
        <f t="shared" si="15"/>
        <v>Phone</v>
      </c>
      <c r="L65" s="3">
        <f t="shared" si="16"/>
        <v>2126</v>
      </c>
    </row>
    <row r="66" spans="1:12" x14ac:dyDescent="0.3">
      <c r="A66" s="6" t="s">
        <v>136</v>
      </c>
      <c r="B66" t="s">
        <v>9</v>
      </c>
      <c r="C66" t="s">
        <v>14</v>
      </c>
      <c r="D66" t="s">
        <v>12</v>
      </c>
      <c r="E66" s="1">
        <v>6</v>
      </c>
      <c r="F66" s="3">
        <v>1099</v>
      </c>
      <c r="G66" s="3"/>
      <c r="H66" s="7">
        <f>DATEVALUE(LEFT(Table5[[#This Row],[Date]],10))</f>
        <v>45444</v>
      </c>
      <c r="I66" t="str">
        <f t="shared" si="13"/>
        <v>West</v>
      </c>
      <c r="J66" t="str">
        <f t="shared" si="14"/>
        <v>Clothing</v>
      </c>
      <c r="K66" t="str">
        <f t="shared" si="15"/>
        <v>Jeans</v>
      </c>
      <c r="L66" s="3">
        <f t="shared" si="16"/>
        <v>6594</v>
      </c>
    </row>
    <row r="67" spans="1:12" x14ac:dyDescent="0.3">
      <c r="A67" s="6" t="s">
        <v>32</v>
      </c>
      <c r="B67" t="s">
        <v>20</v>
      </c>
      <c r="C67" t="s">
        <v>10</v>
      </c>
      <c r="D67" t="s">
        <v>21</v>
      </c>
      <c r="E67" s="1">
        <v>10</v>
      </c>
      <c r="F67" s="3">
        <v>411</v>
      </c>
      <c r="G67" s="3"/>
      <c r="H67" s="7">
        <f>DATEVALUE(LEFT(Table5[[#This Row],[Date]],10))</f>
        <v>45445</v>
      </c>
      <c r="I67" t="str">
        <f t="shared" si="13"/>
        <v>South</v>
      </c>
      <c r="J67" t="str">
        <f t="shared" si="14"/>
        <v>Electronics</v>
      </c>
      <c r="K67" t="str">
        <f t="shared" si="15"/>
        <v>Phone</v>
      </c>
      <c r="L67" s="3">
        <f t="shared" si="16"/>
        <v>4110</v>
      </c>
    </row>
    <row r="68" spans="1:12" x14ac:dyDescent="0.3">
      <c r="A68" s="6" t="s">
        <v>95</v>
      </c>
      <c r="B68" t="s">
        <v>9</v>
      </c>
      <c r="C68" t="s">
        <v>18</v>
      </c>
      <c r="D68" t="s">
        <v>21</v>
      </c>
      <c r="E68" s="1">
        <v>11</v>
      </c>
      <c r="F68" s="3">
        <v>668</v>
      </c>
      <c r="G68" s="3"/>
      <c r="H68" s="7">
        <f>DATEVALUE(LEFT(Table5[[#This Row],[Date]],10))</f>
        <v>45447</v>
      </c>
      <c r="I68" t="str">
        <f t="shared" si="13"/>
        <v>West</v>
      </c>
      <c r="J68" t="str">
        <f t="shared" si="14"/>
        <v>Electronics</v>
      </c>
      <c r="K68" t="str">
        <f t="shared" si="15"/>
        <v>Phone</v>
      </c>
      <c r="L68" s="3">
        <f t="shared" si="16"/>
        <v>7348</v>
      </c>
    </row>
    <row r="69" spans="1:12" x14ac:dyDescent="0.3">
      <c r="A69" s="6" t="s">
        <v>135</v>
      </c>
      <c r="B69" t="s">
        <v>31</v>
      </c>
      <c r="C69" t="s">
        <v>6</v>
      </c>
      <c r="D69" t="s">
        <v>23</v>
      </c>
      <c r="E69" s="1">
        <v>13</v>
      </c>
      <c r="F69" s="3">
        <v>117</v>
      </c>
      <c r="G69" s="3"/>
      <c r="H69" s="7">
        <f>DATEVALUE(LEFT(Table5[[#This Row],[Date]],10))</f>
        <v>45449</v>
      </c>
      <c r="I69" t="str">
        <f t="shared" si="13"/>
        <v>West</v>
      </c>
      <c r="J69" t="str">
        <f t="shared" si="14"/>
        <v>Home Goods</v>
      </c>
      <c r="K69" t="str">
        <f t="shared" si="15"/>
        <v>Lamp</v>
      </c>
      <c r="L69" s="3">
        <f t="shared" si="16"/>
        <v>1521</v>
      </c>
    </row>
    <row r="70" spans="1:12" x14ac:dyDescent="0.3">
      <c r="A70" s="6" t="s">
        <v>28</v>
      </c>
      <c r="B70" t="s">
        <v>9</v>
      </c>
      <c r="C70" t="s">
        <v>14</v>
      </c>
      <c r="D70" t="s">
        <v>12</v>
      </c>
      <c r="E70" s="1">
        <v>16</v>
      </c>
      <c r="F70" s="3">
        <v>885</v>
      </c>
      <c r="G70" s="3"/>
      <c r="H70" s="7">
        <f>DATEVALUE(LEFT(Table5[[#This Row],[Date]],10))</f>
        <v>45461</v>
      </c>
      <c r="I70" t="str">
        <f t="shared" si="13"/>
        <v>West</v>
      </c>
      <c r="J70" t="str">
        <f t="shared" si="14"/>
        <v>Clothing</v>
      </c>
      <c r="K70" t="str">
        <f t="shared" si="15"/>
        <v>Jeans</v>
      </c>
      <c r="L70" s="3">
        <f t="shared" si="16"/>
        <v>14160</v>
      </c>
    </row>
    <row r="71" spans="1:12" x14ac:dyDescent="0.3">
      <c r="A71" s="6" t="s">
        <v>28</v>
      </c>
      <c r="B71" t="s">
        <v>20</v>
      </c>
      <c r="C71" t="s">
        <v>14</v>
      </c>
      <c r="D71" t="s">
        <v>7</v>
      </c>
      <c r="E71" s="1">
        <v>4</v>
      </c>
      <c r="F71" s="3">
        <v>611</v>
      </c>
      <c r="G71" s="3"/>
      <c r="H71" s="7">
        <f>DATEVALUE(LEFT(Table5[[#This Row],[Date]],10))</f>
        <v>45461</v>
      </c>
      <c r="I71" t="str">
        <f t="shared" si="13"/>
        <v>South</v>
      </c>
      <c r="J71" t="str">
        <f t="shared" si="14"/>
        <v>Clothing</v>
      </c>
      <c r="K71" t="str">
        <f t="shared" si="15"/>
        <v>T-Shirt</v>
      </c>
      <c r="L71" s="3">
        <f t="shared" si="16"/>
        <v>2444</v>
      </c>
    </row>
    <row r="72" spans="1:12" x14ac:dyDescent="0.3">
      <c r="A72" s="6" t="s">
        <v>131</v>
      </c>
      <c r="B72" t="s">
        <v>24</v>
      </c>
      <c r="C72" t="s">
        <v>149</v>
      </c>
      <c r="D72" t="s">
        <v>11</v>
      </c>
      <c r="E72" s="1">
        <v>5</v>
      </c>
      <c r="F72" s="3">
        <v>201</v>
      </c>
      <c r="G72" s="3"/>
      <c r="H72" s="7">
        <f>DATEVALUE(LEFT(Table5[[#This Row],[Date]],10))</f>
        <v>45462</v>
      </c>
      <c r="I72" t="str">
        <f t="shared" si="13"/>
        <v>Midwest</v>
      </c>
      <c r="J72" t="str">
        <f t="shared" si="14"/>
        <v>Home Goods</v>
      </c>
      <c r="K72" t="str">
        <f t="shared" si="15"/>
        <v>Vacuum</v>
      </c>
      <c r="L72" s="3">
        <f t="shared" si="16"/>
        <v>1005</v>
      </c>
    </row>
    <row r="73" spans="1:12" x14ac:dyDescent="0.3">
      <c r="A73" s="6" t="s">
        <v>131</v>
      </c>
      <c r="B73" t="s">
        <v>27</v>
      </c>
      <c r="C73" t="s">
        <v>6</v>
      </c>
      <c r="D73" t="s">
        <v>11</v>
      </c>
      <c r="E73" s="1">
        <v>19</v>
      </c>
      <c r="F73" s="3">
        <v>833</v>
      </c>
      <c r="G73" s="3"/>
      <c r="H73" s="7">
        <f>DATEVALUE(LEFT(Table5[[#This Row],[Date]],10))</f>
        <v>45462</v>
      </c>
      <c r="I73" t="str">
        <f t="shared" si="13"/>
        <v>Northeast</v>
      </c>
      <c r="J73" t="str">
        <f t="shared" si="14"/>
        <v>Home Goods</v>
      </c>
      <c r="K73" t="str">
        <f t="shared" si="15"/>
        <v>Vacuum</v>
      </c>
      <c r="L73" s="3">
        <f t="shared" si="16"/>
        <v>15827</v>
      </c>
    </row>
    <row r="74" spans="1:12" x14ac:dyDescent="0.3">
      <c r="A74" s="6" t="s">
        <v>111</v>
      </c>
      <c r="B74" t="s">
        <v>27</v>
      </c>
      <c r="C74" t="s">
        <v>170</v>
      </c>
      <c r="D74" t="s">
        <v>12</v>
      </c>
      <c r="E74" s="1">
        <v>6</v>
      </c>
      <c r="F74" s="3">
        <v>801</v>
      </c>
      <c r="G74" s="3"/>
      <c r="H74" s="7">
        <f>DATEVALUE(LEFT(Table5[[#This Row],[Date]],10))</f>
        <v>45465</v>
      </c>
      <c r="I74" t="str">
        <f t="shared" si="13"/>
        <v>Northeast</v>
      </c>
      <c r="J74" t="str">
        <f t="shared" si="14"/>
        <v>Clothing</v>
      </c>
      <c r="K74" t="str">
        <f t="shared" si="15"/>
        <v>Jeans</v>
      </c>
      <c r="L74" s="3">
        <f t="shared" si="16"/>
        <v>4806</v>
      </c>
    </row>
    <row r="75" spans="1:12" x14ac:dyDescent="0.3">
      <c r="A75" s="6" t="s">
        <v>73</v>
      </c>
      <c r="B75" t="s">
        <v>27</v>
      </c>
      <c r="C75" t="s">
        <v>14</v>
      </c>
      <c r="D75" t="s">
        <v>7</v>
      </c>
      <c r="E75" s="1">
        <v>11</v>
      </c>
      <c r="F75" s="3">
        <v>974</v>
      </c>
      <c r="G75" s="3"/>
      <c r="H75" s="7">
        <f>DATEVALUE(LEFT(Table5[[#This Row],[Date]],10))</f>
        <v>45468</v>
      </c>
      <c r="I75" t="str">
        <f t="shared" si="13"/>
        <v>Northeast</v>
      </c>
      <c r="J75" t="str">
        <f t="shared" si="14"/>
        <v>Clothing</v>
      </c>
      <c r="K75" t="str">
        <f t="shared" si="15"/>
        <v>T-Shirt</v>
      </c>
      <c r="L75" s="3">
        <f t="shared" si="16"/>
        <v>10714</v>
      </c>
    </row>
    <row r="76" spans="1:12" x14ac:dyDescent="0.3">
      <c r="A76" s="6" t="s">
        <v>73</v>
      </c>
      <c r="B76" t="s">
        <v>27</v>
      </c>
      <c r="C76" t="s">
        <v>10</v>
      </c>
      <c r="D76" t="s">
        <v>15</v>
      </c>
      <c r="E76" s="1">
        <v>13</v>
      </c>
      <c r="F76" s="3">
        <v>737</v>
      </c>
      <c r="G76" s="3"/>
      <c r="H76" s="7">
        <f>DATEVALUE(LEFT(Table5[[#This Row],[Date]],10))</f>
        <v>45468</v>
      </c>
      <c r="I76" t="str">
        <f t="shared" si="13"/>
        <v>Northeast</v>
      </c>
      <c r="J76" t="str">
        <f t="shared" si="14"/>
        <v>Electronics</v>
      </c>
      <c r="K76" t="str">
        <f t="shared" si="15"/>
        <v>Laptop</v>
      </c>
      <c r="L76" s="3">
        <f t="shared" si="16"/>
        <v>9581</v>
      </c>
    </row>
    <row r="77" spans="1:12" x14ac:dyDescent="0.3">
      <c r="A77" s="6" t="s">
        <v>41</v>
      </c>
      <c r="B77" t="s">
        <v>27</v>
      </c>
      <c r="C77" t="s">
        <v>10</v>
      </c>
      <c r="D77" t="s">
        <v>15</v>
      </c>
      <c r="E77" s="1">
        <v>4</v>
      </c>
      <c r="F77" s="3">
        <v>270</v>
      </c>
      <c r="G77" s="3"/>
      <c r="H77" s="7">
        <f>DATEVALUE(LEFT(Table5[[#This Row],[Date]],10))</f>
        <v>45469</v>
      </c>
      <c r="I77" t="str">
        <f t="shared" si="13"/>
        <v>Northeast</v>
      </c>
      <c r="J77" t="str">
        <f t="shared" si="14"/>
        <v>Electronics</v>
      </c>
      <c r="K77" t="str">
        <f t="shared" si="15"/>
        <v>Laptop</v>
      </c>
      <c r="L77" s="3">
        <f t="shared" si="16"/>
        <v>1080</v>
      </c>
    </row>
    <row r="78" spans="1:12" x14ac:dyDescent="0.3">
      <c r="A78" s="6" t="s">
        <v>114</v>
      </c>
      <c r="B78" t="s">
        <v>24</v>
      </c>
      <c r="C78" t="s">
        <v>6</v>
      </c>
      <c r="D78" t="s">
        <v>23</v>
      </c>
      <c r="E78" s="1">
        <v>11</v>
      </c>
      <c r="F78" s="3">
        <v>290</v>
      </c>
      <c r="G78" s="3"/>
      <c r="H78" s="7">
        <f>DATEVALUE(LEFT(Table5[[#This Row],[Date]],10))</f>
        <v>45470</v>
      </c>
      <c r="I78" t="str">
        <f t="shared" si="13"/>
        <v>Midwest</v>
      </c>
      <c r="J78" t="str">
        <f t="shared" si="14"/>
        <v>Home Goods</v>
      </c>
      <c r="K78" t="str">
        <f t="shared" si="15"/>
        <v>Lamp</v>
      </c>
      <c r="L78" s="3">
        <f t="shared" si="16"/>
        <v>3190</v>
      </c>
    </row>
    <row r="79" spans="1:12" x14ac:dyDescent="0.3">
      <c r="A79" s="6" t="s">
        <v>54</v>
      </c>
      <c r="B79" t="s">
        <v>24</v>
      </c>
      <c r="C79" t="s">
        <v>10</v>
      </c>
      <c r="D79" t="s">
        <v>25</v>
      </c>
      <c r="E79" s="1">
        <v>12</v>
      </c>
      <c r="F79" s="3">
        <v>94</v>
      </c>
      <c r="G79" s="3"/>
      <c r="H79" s="7">
        <f>DATEVALUE(LEFT(Table5[[#This Row],[Date]],10))</f>
        <v>45472</v>
      </c>
      <c r="I79" t="str">
        <f t="shared" si="13"/>
        <v>Midwest</v>
      </c>
      <c r="J79" t="str">
        <f t="shared" si="14"/>
        <v>Electronics</v>
      </c>
      <c r="K79" t="str">
        <f t="shared" si="15"/>
        <v>Tablet</v>
      </c>
      <c r="L79" s="3">
        <f t="shared" si="16"/>
        <v>1128</v>
      </c>
    </row>
    <row r="80" spans="1:12" x14ac:dyDescent="0.3">
      <c r="A80" s="6" t="s">
        <v>76</v>
      </c>
      <c r="B80" t="s">
        <v>31</v>
      </c>
      <c r="C80" t="s">
        <v>14</v>
      </c>
      <c r="D80" t="s">
        <v>7</v>
      </c>
      <c r="E80" s="1">
        <v>10</v>
      </c>
      <c r="F80" s="3">
        <v>296</v>
      </c>
      <c r="G80" s="3"/>
      <c r="H80" s="7">
        <f>DATEVALUE(LEFT(Table5[[#This Row],[Date]],10))</f>
        <v>45473</v>
      </c>
      <c r="I80" t="str">
        <f t="shared" si="13"/>
        <v>West</v>
      </c>
      <c r="J80" t="str">
        <f t="shared" si="14"/>
        <v>Clothing</v>
      </c>
      <c r="K80" t="str">
        <f t="shared" si="15"/>
        <v>T-Shirt</v>
      </c>
      <c r="L80" s="3">
        <f t="shared" si="16"/>
        <v>2960</v>
      </c>
    </row>
    <row r="81" spans="1:12" x14ac:dyDescent="0.3">
      <c r="A81" s="6" t="s">
        <v>116</v>
      </c>
      <c r="B81" t="s">
        <v>13</v>
      </c>
      <c r="C81" t="s">
        <v>6</v>
      </c>
      <c r="D81" t="s">
        <v>23</v>
      </c>
      <c r="E81" s="1">
        <v>1</v>
      </c>
      <c r="F81" s="3">
        <v>421</v>
      </c>
      <c r="G81" s="3"/>
      <c r="H81" s="7">
        <f>DATEVALUE(LEFT(Table5[[#This Row],[Date]],10))</f>
        <v>45477</v>
      </c>
      <c r="I81" t="str">
        <f t="shared" si="13"/>
        <v>West</v>
      </c>
      <c r="J81" t="str">
        <f t="shared" si="14"/>
        <v>Home Goods</v>
      </c>
      <c r="K81" t="str">
        <f t="shared" si="15"/>
        <v>Lamp</v>
      </c>
      <c r="L81" s="3">
        <f t="shared" si="16"/>
        <v>421</v>
      </c>
    </row>
    <row r="82" spans="1:12" x14ac:dyDescent="0.3">
      <c r="A82" s="6" t="s">
        <v>49</v>
      </c>
      <c r="B82" t="s">
        <v>13</v>
      </c>
      <c r="C82" t="s">
        <v>14</v>
      </c>
      <c r="D82" t="s">
        <v>7</v>
      </c>
      <c r="E82" s="1">
        <v>13</v>
      </c>
      <c r="F82" s="3">
        <v>621</v>
      </c>
      <c r="G82" s="3"/>
      <c r="H82" s="7">
        <f>DATEVALUE(LEFT(Table5[[#This Row],[Date]],10))</f>
        <v>45479</v>
      </c>
      <c r="I82" t="str">
        <f t="shared" si="13"/>
        <v>West</v>
      </c>
      <c r="J82" t="str">
        <f t="shared" si="14"/>
        <v>Clothing</v>
      </c>
      <c r="K82" t="str">
        <f t="shared" si="15"/>
        <v>T-Shirt</v>
      </c>
      <c r="L82" s="3">
        <f t="shared" si="16"/>
        <v>8073</v>
      </c>
    </row>
    <row r="83" spans="1:12" x14ac:dyDescent="0.3">
      <c r="A83" s="6" t="s">
        <v>16</v>
      </c>
      <c r="B83" t="s">
        <v>13</v>
      </c>
      <c r="C83" t="s">
        <v>6</v>
      </c>
      <c r="D83" t="s">
        <v>15</v>
      </c>
      <c r="E83" s="1">
        <v>17</v>
      </c>
      <c r="F83" s="3">
        <v>960</v>
      </c>
      <c r="G83" s="3"/>
      <c r="H83" s="7">
        <f>DATEVALUE(LEFT(Table5[[#This Row],[Date]],10))</f>
        <v>45487</v>
      </c>
      <c r="I83" t="str">
        <f t="shared" ref="I83:I104" si="17">PROPER(TRIM(B83))</f>
        <v>West</v>
      </c>
      <c r="J83" t="str">
        <f t="shared" ref="J83:J104" si="18">PROPER(TRIM(C83))</f>
        <v>Home Goods</v>
      </c>
      <c r="K83" t="str">
        <f t="shared" ref="K83:K104" si="19">PROPER(TRIM(D83))</f>
        <v>Laptop</v>
      </c>
      <c r="L83" s="3">
        <f t="shared" ref="L83:L104" si="20">F83*E83</f>
        <v>16320</v>
      </c>
    </row>
    <row r="84" spans="1:12" x14ac:dyDescent="0.3">
      <c r="A84" s="6" t="s">
        <v>63</v>
      </c>
      <c r="B84" t="s">
        <v>9</v>
      </c>
      <c r="C84" t="s">
        <v>14</v>
      </c>
      <c r="D84" t="s">
        <v>12</v>
      </c>
      <c r="E84" s="1">
        <v>14</v>
      </c>
      <c r="F84" s="3">
        <v>1134</v>
      </c>
      <c r="G84" s="3"/>
      <c r="H84" s="7">
        <f>DATEVALUE(LEFT(Table5[[#This Row],[Date]],10))</f>
        <v>45494</v>
      </c>
      <c r="I84" t="str">
        <f t="shared" si="17"/>
        <v>West</v>
      </c>
      <c r="J84" t="str">
        <f t="shared" si="18"/>
        <v>Clothing</v>
      </c>
      <c r="K84" t="str">
        <f t="shared" si="19"/>
        <v>Jeans</v>
      </c>
      <c r="L84" s="3">
        <f t="shared" si="20"/>
        <v>15876</v>
      </c>
    </row>
    <row r="85" spans="1:12" x14ac:dyDescent="0.3">
      <c r="A85" s="6" t="s">
        <v>63</v>
      </c>
      <c r="B85" t="s">
        <v>24</v>
      </c>
      <c r="C85" t="s">
        <v>18</v>
      </c>
      <c r="D85" t="s">
        <v>21</v>
      </c>
      <c r="E85" s="1">
        <v>12</v>
      </c>
      <c r="F85" s="3">
        <v>93</v>
      </c>
      <c r="G85" s="3"/>
      <c r="H85" s="7">
        <f>DATEVALUE(LEFT(Table5[[#This Row],[Date]],10))</f>
        <v>45494</v>
      </c>
      <c r="I85" t="str">
        <f t="shared" si="17"/>
        <v>Midwest</v>
      </c>
      <c r="J85" t="str">
        <f t="shared" si="18"/>
        <v>Electronics</v>
      </c>
      <c r="K85" t="str">
        <f t="shared" si="19"/>
        <v>Phone</v>
      </c>
      <c r="L85" s="3">
        <f t="shared" si="20"/>
        <v>1116</v>
      </c>
    </row>
    <row r="86" spans="1:12" x14ac:dyDescent="0.3">
      <c r="A86" s="6" t="s">
        <v>63</v>
      </c>
      <c r="B86" t="s">
        <v>27</v>
      </c>
      <c r="C86" t="s">
        <v>14</v>
      </c>
      <c r="D86" t="s">
        <v>12</v>
      </c>
      <c r="E86" s="1">
        <v>11</v>
      </c>
      <c r="F86" s="3">
        <v>121</v>
      </c>
      <c r="G86" s="3"/>
      <c r="H86" s="7">
        <f>DATEVALUE(LEFT(Table5[[#This Row],[Date]],10))</f>
        <v>45494</v>
      </c>
      <c r="I86" t="str">
        <f t="shared" si="17"/>
        <v>Northeast</v>
      </c>
      <c r="J86" t="str">
        <f t="shared" si="18"/>
        <v>Clothing</v>
      </c>
      <c r="K86" t="str">
        <f t="shared" si="19"/>
        <v>Jeans</v>
      </c>
      <c r="L86" s="3">
        <f t="shared" si="20"/>
        <v>1331</v>
      </c>
    </row>
    <row r="87" spans="1:12" x14ac:dyDescent="0.3">
      <c r="A87" s="6" t="s">
        <v>98</v>
      </c>
      <c r="B87" t="s">
        <v>13</v>
      </c>
      <c r="C87" t="s">
        <v>10</v>
      </c>
      <c r="D87" t="s">
        <v>21</v>
      </c>
      <c r="E87" s="1">
        <v>8</v>
      </c>
      <c r="F87" s="3">
        <v>76</v>
      </c>
      <c r="G87" s="3"/>
      <c r="H87" s="7">
        <f>DATEVALUE(LEFT(Table5[[#This Row],[Date]],10))</f>
        <v>45499</v>
      </c>
      <c r="I87" t="str">
        <f t="shared" si="17"/>
        <v>West</v>
      </c>
      <c r="J87" t="str">
        <f t="shared" si="18"/>
        <v>Electronics</v>
      </c>
      <c r="K87" t="str">
        <f t="shared" si="19"/>
        <v>Phone</v>
      </c>
      <c r="L87" s="3">
        <f t="shared" si="20"/>
        <v>608</v>
      </c>
    </row>
    <row r="88" spans="1:12" x14ac:dyDescent="0.3">
      <c r="A88" s="6" t="s">
        <v>98</v>
      </c>
      <c r="B88" t="s">
        <v>9</v>
      </c>
      <c r="C88" t="s">
        <v>14</v>
      </c>
      <c r="D88" t="s">
        <v>12</v>
      </c>
      <c r="E88" s="1">
        <v>18</v>
      </c>
      <c r="F88" s="3">
        <v>160</v>
      </c>
      <c r="G88" s="3"/>
      <c r="H88" s="7">
        <f>DATEVALUE(LEFT(Table5[[#This Row],[Date]],10))</f>
        <v>45499</v>
      </c>
      <c r="I88" t="str">
        <f t="shared" si="17"/>
        <v>West</v>
      </c>
      <c r="J88" t="str">
        <f t="shared" si="18"/>
        <v>Clothing</v>
      </c>
      <c r="K88" t="str">
        <f t="shared" si="19"/>
        <v>Jeans</v>
      </c>
      <c r="L88" s="3">
        <f t="shared" si="20"/>
        <v>2880</v>
      </c>
    </row>
    <row r="89" spans="1:12" x14ac:dyDescent="0.3">
      <c r="A89" s="6" t="s">
        <v>98</v>
      </c>
      <c r="B89" t="s">
        <v>20</v>
      </c>
      <c r="C89" t="s">
        <v>6</v>
      </c>
      <c r="D89" t="s">
        <v>23</v>
      </c>
      <c r="E89" s="1">
        <v>11</v>
      </c>
      <c r="F89" s="3">
        <v>213</v>
      </c>
      <c r="G89" s="3"/>
      <c r="H89" s="7">
        <f>DATEVALUE(LEFT(Table5[[#This Row],[Date]],10))</f>
        <v>45499</v>
      </c>
      <c r="I89" t="str">
        <f t="shared" si="17"/>
        <v>South</v>
      </c>
      <c r="J89" t="str">
        <f t="shared" si="18"/>
        <v>Home Goods</v>
      </c>
      <c r="K89" t="str">
        <f t="shared" si="19"/>
        <v>Lamp</v>
      </c>
      <c r="L89" s="3">
        <f t="shared" si="20"/>
        <v>2343</v>
      </c>
    </row>
    <row r="90" spans="1:12" x14ac:dyDescent="0.3">
      <c r="A90" s="6" t="s">
        <v>69</v>
      </c>
      <c r="B90" t="s">
        <v>20</v>
      </c>
      <c r="C90" t="s">
        <v>14</v>
      </c>
      <c r="D90" t="s">
        <v>7</v>
      </c>
      <c r="E90" s="1">
        <v>3</v>
      </c>
      <c r="F90" s="3">
        <v>464</v>
      </c>
      <c r="G90" s="3"/>
      <c r="H90" s="7">
        <f>DATEVALUE(LEFT(Table5[[#This Row],[Date]],10))</f>
        <v>45500</v>
      </c>
      <c r="I90" t="str">
        <f t="shared" si="17"/>
        <v>South</v>
      </c>
      <c r="J90" t="str">
        <f t="shared" si="18"/>
        <v>Clothing</v>
      </c>
      <c r="K90" t="str">
        <f t="shared" si="19"/>
        <v>T-Shirt</v>
      </c>
      <c r="L90" s="3">
        <f t="shared" si="20"/>
        <v>1392</v>
      </c>
    </row>
    <row r="91" spans="1:12" x14ac:dyDescent="0.3">
      <c r="A91" s="6" t="s">
        <v>48</v>
      </c>
      <c r="B91" t="s">
        <v>27</v>
      </c>
      <c r="C91" t="s">
        <v>149</v>
      </c>
      <c r="D91" t="s">
        <v>23</v>
      </c>
      <c r="E91" s="1">
        <v>15</v>
      </c>
      <c r="F91" s="3">
        <v>28</v>
      </c>
      <c r="G91" s="3"/>
      <c r="H91" s="7">
        <f>DATEVALUE(LEFT(Table5[[#This Row],[Date]],10))</f>
        <v>45506</v>
      </c>
      <c r="I91" t="str">
        <f t="shared" si="17"/>
        <v>Northeast</v>
      </c>
      <c r="J91" t="str">
        <f t="shared" si="18"/>
        <v>Home Goods</v>
      </c>
      <c r="K91" t="str">
        <f t="shared" si="19"/>
        <v>Lamp</v>
      </c>
      <c r="L91" s="3">
        <f t="shared" si="20"/>
        <v>420</v>
      </c>
    </row>
    <row r="92" spans="1:12" x14ac:dyDescent="0.3">
      <c r="A92" s="6" t="s">
        <v>30</v>
      </c>
      <c r="B92" t="s">
        <v>24</v>
      </c>
      <c r="C92" t="s">
        <v>10</v>
      </c>
      <c r="D92" t="s">
        <v>25</v>
      </c>
      <c r="E92" s="1">
        <v>19</v>
      </c>
      <c r="F92" s="3">
        <v>709</v>
      </c>
      <c r="G92" s="3"/>
      <c r="H92" s="7">
        <f>DATEVALUE(LEFT(Table5[[#This Row],[Date]],10))</f>
        <v>45507</v>
      </c>
      <c r="I92" t="str">
        <f t="shared" si="17"/>
        <v>Midwest</v>
      </c>
      <c r="J92" t="str">
        <f t="shared" si="18"/>
        <v>Electronics</v>
      </c>
      <c r="K92" t="str">
        <f t="shared" si="19"/>
        <v>Tablet</v>
      </c>
      <c r="L92" s="3">
        <f t="shared" si="20"/>
        <v>13471</v>
      </c>
    </row>
    <row r="93" spans="1:12" x14ac:dyDescent="0.3">
      <c r="A93" s="6" t="s">
        <v>83</v>
      </c>
      <c r="B93" t="s">
        <v>27</v>
      </c>
      <c r="C93" t="s">
        <v>6</v>
      </c>
      <c r="D93" t="s">
        <v>23</v>
      </c>
      <c r="E93" s="1">
        <v>19</v>
      </c>
      <c r="F93" s="3">
        <v>530</v>
      </c>
      <c r="G93" s="3"/>
      <c r="H93" s="7">
        <f>DATEVALUE(LEFT(Table5[[#This Row],[Date]],10))</f>
        <v>45508</v>
      </c>
      <c r="I93" t="str">
        <f t="shared" si="17"/>
        <v>Northeast</v>
      </c>
      <c r="J93" t="str">
        <f t="shared" si="18"/>
        <v>Home Goods</v>
      </c>
      <c r="K93" t="str">
        <f t="shared" si="19"/>
        <v>Lamp</v>
      </c>
      <c r="L93" s="3">
        <f t="shared" si="20"/>
        <v>10070</v>
      </c>
    </row>
    <row r="94" spans="1:12" x14ac:dyDescent="0.3">
      <c r="A94" s="6" t="s">
        <v>130</v>
      </c>
      <c r="B94" t="s">
        <v>24</v>
      </c>
      <c r="C94" t="s">
        <v>170</v>
      </c>
      <c r="D94" t="s">
        <v>7</v>
      </c>
      <c r="E94" s="1">
        <v>2</v>
      </c>
      <c r="F94" s="3">
        <v>668</v>
      </c>
      <c r="G94" s="3"/>
      <c r="H94" s="7">
        <f>DATEVALUE(LEFT(Table5[[#This Row],[Date]],10))</f>
        <v>45509</v>
      </c>
      <c r="I94" t="str">
        <f t="shared" si="17"/>
        <v>Midwest</v>
      </c>
      <c r="J94" t="str">
        <f t="shared" si="18"/>
        <v>Clothing</v>
      </c>
      <c r="K94" t="str">
        <f t="shared" si="19"/>
        <v>T-Shirt</v>
      </c>
      <c r="L94" s="3">
        <f t="shared" si="20"/>
        <v>1336</v>
      </c>
    </row>
    <row r="95" spans="1:12" x14ac:dyDescent="0.3">
      <c r="A95" s="6" t="s">
        <v>52</v>
      </c>
      <c r="B95" t="s">
        <v>13</v>
      </c>
      <c r="C95" t="s">
        <v>6</v>
      </c>
      <c r="D95" t="s">
        <v>11</v>
      </c>
      <c r="E95" s="1">
        <v>3</v>
      </c>
      <c r="F95" s="3">
        <v>256</v>
      </c>
      <c r="G95" s="3"/>
      <c r="H95" s="7">
        <f>DATEVALUE(LEFT(Table5[[#This Row],[Date]],10))</f>
        <v>45511</v>
      </c>
      <c r="I95" t="str">
        <f t="shared" si="17"/>
        <v>West</v>
      </c>
      <c r="J95" t="str">
        <f t="shared" si="18"/>
        <v>Home Goods</v>
      </c>
      <c r="K95" t="str">
        <f t="shared" si="19"/>
        <v>Vacuum</v>
      </c>
      <c r="L95" s="3">
        <f t="shared" si="20"/>
        <v>768</v>
      </c>
    </row>
    <row r="96" spans="1:12" x14ac:dyDescent="0.3">
      <c r="A96" s="6" t="s">
        <v>85</v>
      </c>
      <c r="B96" t="s">
        <v>9</v>
      </c>
      <c r="C96" t="s">
        <v>14</v>
      </c>
      <c r="D96" t="s">
        <v>12</v>
      </c>
      <c r="E96" s="1">
        <v>13</v>
      </c>
      <c r="F96" s="3">
        <v>884</v>
      </c>
      <c r="G96" s="3"/>
      <c r="H96" s="7">
        <f>DATEVALUE(LEFT(Table5[[#This Row],[Date]],10))</f>
        <v>45512</v>
      </c>
      <c r="I96" t="str">
        <f t="shared" si="17"/>
        <v>West</v>
      </c>
      <c r="J96" t="str">
        <f t="shared" si="18"/>
        <v>Clothing</v>
      </c>
      <c r="K96" t="str">
        <f t="shared" si="19"/>
        <v>Jeans</v>
      </c>
      <c r="L96" s="3">
        <f t="shared" si="20"/>
        <v>11492</v>
      </c>
    </row>
    <row r="97" spans="1:12" x14ac:dyDescent="0.3">
      <c r="A97" s="6" t="s">
        <v>34</v>
      </c>
      <c r="B97" t="s">
        <v>24</v>
      </c>
      <c r="C97" t="s">
        <v>14</v>
      </c>
      <c r="D97" t="s">
        <v>12</v>
      </c>
      <c r="E97" s="1">
        <v>5</v>
      </c>
      <c r="F97" s="3">
        <v>383</v>
      </c>
      <c r="G97" s="3"/>
      <c r="H97" s="7">
        <f>DATEVALUE(LEFT(Table5[[#This Row],[Date]],10))</f>
        <v>45515</v>
      </c>
      <c r="I97" t="str">
        <f t="shared" si="17"/>
        <v>Midwest</v>
      </c>
      <c r="J97" t="str">
        <f t="shared" si="18"/>
        <v>Clothing</v>
      </c>
      <c r="K97" t="str">
        <f t="shared" si="19"/>
        <v>Jeans</v>
      </c>
      <c r="L97" s="3">
        <f t="shared" si="20"/>
        <v>1915</v>
      </c>
    </row>
    <row r="98" spans="1:12" x14ac:dyDescent="0.3">
      <c r="A98" s="6" t="s">
        <v>75</v>
      </c>
      <c r="B98" t="s">
        <v>24</v>
      </c>
      <c r="C98" t="s">
        <v>14</v>
      </c>
      <c r="D98" t="s">
        <v>12</v>
      </c>
      <c r="E98" s="1">
        <v>7</v>
      </c>
      <c r="F98" s="3">
        <v>532</v>
      </c>
      <c r="G98" s="3"/>
      <c r="H98" s="7">
        <f>DATEVALUE(LEFT(Table5[[#This Row],[Date]],10))</f>
        <v>45516</v>
      </c>
      <c r="I98" t="str">
        <f t="shared" si="17"/>
        <v>Midwest</v>
      </c>
      <c r="J98" t="str">
        <f t="shared" si="18"/>
        <v>Clothing</v>
      </c>
      <c r="K98" t="str">
        <f t="shared" si="19"/>
        <v>Jeans</v>
      </c>
      <c r="L98" s="3">
        <f t="shared" si="20"/>
        <v>3724</v>
      </c>
    </row>
    <row r="99" spans="1:12" x14ac:dyDescent="0.3">
      <c r="A99" s="6" t="s">
        <v>137</v>
      </c>
      <c r="B99" t="s">
        <v>20</v>
      </c>
      <c r="C99" t="s">
        <v>14</v>
      </c>
      <c r="D99" t="s">
        <v>7</v>
      </c>
      <c r="E99" s="1">
        <v>12</v>
      </c>
      <c r="F99" s="3">
        <v>1042</v>
      </c>
      <c r="G99" s="3"/>
      <c r="H99" s="7">
        <f>DATEVALUE(LEFT(Table5[[#This Row],[Date]],10))</f>
        <v>45517</v>
      </c>
      <c r="I99" t="str">
        <f t="shared" si="17"/>
        <v>South</v>
      </c>
      <c r="J99" t="str">
        <f t="shared" si="18"/>
        <v>Clothing</v>
      </c>
      <c r="K99" t="str">
        <f t="shared" si="19"/>
        <v>T-Shirt</v>
      </c>
      <c r="L99" s="3">
        <f t="shared" si="20"/>
        <v>12504</v>
      </c>
    </row>
    <row r="100" spans="1:12" x14ac:dyDescent="0.3">
      <c r="A100" s="6" t="s">
        <v>50</v>
      </c>
      <c r="B100" t="s">
        <v>9</v>
      </c>
      <c r="C100" t="s">
        <v>14</v>
      </c>
      <c r="D100" t="s">
        <v>7</v>
      </c>
      <c r="E100" s="1">
        <v>8</v>
      </c>
      <c r="F100" s="3">
        <v>644</v>
      </c>
      <c r="G100" s="3"/>
      <c r="H100" s="7">
        <f>DATEVALUE(LEFT(Table5[[#This Row],[Date]],10))</f>
        <v>45518</v>
      </c>
      <c r="I100" t="str">
        <f t="shared" si="17"/>
        <v>West</v>
      </c>
      <c r="J100" t="str">
        <f t="shared" si="18"/>
        <v>Clothing</v>
      </c>
      <c r="K100" t="str">
        <f t="shared" si="19"/>
        <v>T-Shirt</v>
      </c>
      <c r="L100" s="3">
        <f t="shared" si="20"/>
        <v>5152</v>
      </c>
    </row>
    <row r="101" spans="1:12" x14ac:dyDescent="0.3">
      <c r="A101" s="6" t="s">
        <v>132</v>
      </c>
      <c r="B101" t="s">
        <v>24</v>
      </c>
      <c r="C101" t="s">
        <v>10</v>
      </c>
      <c r="D101" t="s">
        <v>25</v>
      </c>
      <c r="E101" s="1">
        <v>3</v>
      </c>
      <c r="F101" s="3">
        <v>559</v>
      </c>
      <c r="G101" s="3"/>
      <c r="H101" s="7">
        <f>DATEVALUE(LEFT(Table5[[#This Row],[Date]],10))</f>
        <v>45523</v>
      </c>
      <c r="I101" t="str">
        <f t="shared" si="17"/>
        <v>Midwest</v>
      </c>
      <c r="J101" t="str">
        <f t="shared" si="18"/>
        <v>Electronics</v>
      </c>
      <c r="K101" t="str">
        <f t="shared" si="19"/>
        <v>Tablet</v>
      </c>
      <c r="L101" s="3">
        <f t="shared" si="20"/>
        <v>1677</v>
      </c>
    </row>
    <row r="102" spans="1:12" x14ac:dyDescent="0.3">
      <c r="A102" s="6" t="s">
        <v>108</v>
      </c>
      <c r="B102" t="s">
        <v>20</v>
      </c>
      <c r="C102" t="s">
        <v>149</v>
      </c>
      <c r="D102" t="s">
        <v>11</v>
      </c>
      <c r="E102" s="1">
        <v>4</v>
      </c>
      <c r="F102" s="3">
        <v>666</v>
      </c>
      <c r="G102" s="3"/>
      <c r="H102" s="7">
        <f>DATEVALUE(LEFT(Table5[[#This Row],[Date]],10))</f>
        <v>45529</v>
      </c>
      <c r="I102" t="str">
        <f t="shared" si="17"/>
        <v>South</v>
      </c>
      <c r="J102" t="str">
        <f t="shared" si="18"/>
        <v>Home Goods</v>
      </c>
      <c r="K102" t="str">
        <f t="shared" si="19"/>
        <v>Vacuum</v>
      </c>
      <c r="L102" s="3">
        <f t="shared" si="20"/>
        <v>2664</v>
      </c>
    </row>
    <row r="103" spans="1:12" x14ac:dyDescent="0.3">
      <c r="A103" s="6" t="s">
        <v>108</v>
      </c>
      <c r="B103" t="s">
        <v>31</v>
      </c>
      <c r="C103" t="s">
        <v>6</v>
      </c>
      <c r="D103" t="s">
        <v>23</v>
      </c>
      <c r="E103" s="1">
        <v>16</v>
      </c>
      <c r="F103" s="3">
        <v>370</v>
      </c>
      <c r="G103" s="3"/>
      <c r="H103" s="7">
        <f>DATEVALUE(LEFT(Table5[[#This Row],[Date]],10))</f>
        <v>45529</v>
      </c>
      <c r="I103" t="str">
        <f t="shared" si="17"/>
        <v>West</v>
      </c>
      <c r="J103" t="str">
        <f t="shared" si="18"/>
        <v>Home Goods</v>
      </c>
      <c r="K103" t="str">
        <f t="shared" si="19"/>
        <v>Lamp</v>
      </c>
      <c r="L103" s="3">
        <f t="shared" si="20"/>
        <v>5920</v>
      </c>
    </row>
    <row r="104" spans="1:12" x14ac:dyDescent="0.3">
      <c r="A104" s="6" t="s">
        <v>38</v>
      </c>
      <c r="B104" t="s">
        <v>27</v>
      </c>
      <c r="C104" t="s">
        <v>10</v>
      </c>
      <c r="D104" t="s">
        <v>25</v>
      </c>
      <c r="E104" s="1">
        <v>17</v>
      </c>
      <c r="F104" s="3">
        <v>514</v>
      </c>
      <c r="G104" s="3"/>
      <c r="H104" s="7">
        <f>DATEVALUE(LEFT(Table5[[#This Row],[Date]],10))</f>
        <v>45530</v>
      </c>
      <c r="I104" t="str">
        <f t="shared" si="17"/>
        <v>Northeast</v>
      </c>
      <c r="J104" t="str">
        <f t="shared" si="18"/>
        <v>Electronics</v>
      </c>
      <c r="K104" t="str">
        <f t="shared" si="19"/>
        <v>Tablet</v>
      </c>
      <c r="L104" s="3">
        <f t="shared" si="20"/>
        <v>8738</v>
      </c>
    </row>
    <row r="105" spans="1:12" x14ac:dyDescent="0.3">
      <c r="A105" s="6" t="s">
        <v>105</v>
      </c>
      <c r="B105" t="s">
        <v>20</v>
      </c>
      <c r="C105" t="s">
        <v>14</v>
      </c>
      <c r="D105" t="s">
        <v>7</v>
      </c>
      <c r="E105" s="1">
        <v>19</v>
      </c>
      <c r="F105" s="3">
        <v>548</v>
      </c>
      <c r="G105" s="3"/>
      <c r="H105" s="7">
        <f>DATEVALUE(LEFT(Table5[[#This Row],[Date]],10))</f>
        <v>45535</v>
      </c>
      <c r="I105" t="str">
        <f t="shared" ref="I105:I122" si="21">PROPER(TRIM(B105))</f>
        <v>South</v>
      </c>
      <c r="J105" t="str">
        <f t="shared" ref="J105:J122" si="22">PROPER(TRIM(C105))</f>
        <v>Clothing</v>
      </c>
      <c r="K105" t="str">
        <f t="shared" ref="K105:K122" si="23">PROPER(TRIM(D105))</f>
        <v>T-Shirt</v>
      </c>
      <c r="L105" s="3">
        <f t="shared" ref="L105:L122" si="24">F105*E105</f>
        <v>10412</v>
      </c>
    </row>
    <row r="106" spans="1:12" x14ac:dyDescent="0.3">
      <c r="A106" s="6" t="s">
        <v>97</v>
      </c>
      <c r="B106" t="s">
        <v>31</v>
      </c>
      <c r="C106" t="s">
        <v>18</v>
      </c>
      <c r="D106" t="s">
        <v>23</v>
      </c>
      <c r="E106" s="1">
        <v>16</v>
      </c>
      <c r="F106" s="3">
        <v>153</v>
      </c>
      <c r="G106" s="3"/>
      <c r="H106" s="7">
        <f>DATEVALUE(LEFT(Table5[[#This Row],[Date]],10))</f>
        <v>45545</v>
      </c>
      <c r="I106" t="str">
        <f t="shared" si="21"/>
        <v>West</v>
      </c>
      <c r="J106" t="str">
        <f t="shared" si="22"/>
        <v>Electronics</v>
      </c>
      <c r="K106" t="str">
        <f t="shared" si="23"/>
        <v>Lamp</v>
      </c>
      <c r="L106" s="3">
        <f t="shared" si="24"/>
        <v>2448</v>
      </c>
    </row>
    <row r="107" spans="1:12" x14ac:dyDescent="0.3">
      <c r="A107" s="6" t="s">
        <v>45</v>
      </c>
      <c r="B107" t="s">
        <v>27</v>
      </c>
      <c r="C107" t="s">
        <v>14</v>
      </c>
      <c r="D107" t="s">
        <v>12</v>
      </c>
      <c r="E107" s="1">
        <v>14</v>
      </c>
      <c r="F107" s="3">
        <v>69</v>
      </c>
      <c r="G107" s="3"/>
      <c r="H107" s="7">
        <f>DATEVALUE(LEFT(Table5[[#This Row],[Date]],10))</f>
        <v>45550</v>
      </c>
      <c r="I107" t="str">
        <f t="shared" si="21"/>
        <v>Northeast</v>
      </c>
      <c r="J107" t="str">
        <f t="shared" si="22"/>
        <v>Clothing</v>
      </c>
      <c r="K107" t="str">
        <f t="shared" si="23"/>
        <v>Jeans</v>
      </c>
      <c r="L107" s="3">
        <f t="shared" si="24"/>
        <v>966</v>
      </c>
    </row>
    <row r="108" spans="1:12" x14ac:dyDescent="0.3">
      <c r="A108" s="6" t="s">
        <v>29</v>
      </c>
      <c r="B108" t="s">
        <v>27</v>
      </c>
      <c r="C108" t="s">
        <v>6</v>
      </c>
      <c r="D108" t="s">
        <v>15</v>
      </c>
      <c r="E108" s="1">
        <v>13</v>
      </c>
      <c r="F108" s="3">
        <v>312</v>
      </c>
      <c r="G108" s="3"/>
      <c r="H108" s="7">
        <f>DATEVALUE(LEFT(Table5[[#This Row],[Date]],10))</f>
        <v>45552</v>
      </c>
      <c r="I108" t="str">
        <f t="shared" si="21"/>
        <v>Northeast</v>
      </c>
      <c r="J108" t="str">
        <f t="shared" si="22"/>
        <v>Home Goods</v>
      </c>
      <c r="K108" t="str">
        <f t="shared" si="23"/>
        <v>Laptop</v>
      </c>
      <c r="L108" s="3">
        <f t="shared" si="24"/>
        <v>4056</v>
      </c>
    </row>
    <row r="109" spans="1:12" x14ac:dyDescent="0.3">
      <c r="A109" s="6" t="s">
        <v>29</v>
      </c>
      <c r="B109" t="s">
        <v>27</v>
      </c>
      <c r="C109" t="s">
        <v>10</v>
      </c>
      <c r="D109" t="s">
        <v>25</v>
      </c>
      <c r="E109" s="1">
        <v>12</v>
      </c>
      <c r="F109" s="3">
        <v>614</v>
      </c>
      <c r="G109" s="3"/>
      <c r="H109" s="7">
        <f>DATEVALUE(LEFT(Table5[[#This Row],[Date]],10))</f>
        <v>45552</v>
      </c>
      <c r="I109" t="str">
        <f t="shared" si="21"/>
        <v>Northeast</v>
      </c>
      <c r="J109" t="str">
        <f t="shared" si="22"/>
        <v>Electronics</v>
      </c>
      <c r="K109" t="str">
        <f t="shared" si="23"/>
        <v>Tablet</v>
      </c>
      <c r="L109" s="3">
        <f t="shared" si="24"/>
        <v>7368</v>
      </c>
    </row>
    <row r="110" spans="1:12" x14ac:dyDescent="0.3">
      <c r="A110" s="6" t="s">
        <v>61</v>
      </c>
      <c r="B110" t="s">
        <v>27</v>
      </c>
      <c r="C110" t="s">
        <v>18</v>
      </c>
      <c r="D110" t="s">
        <v>21</v>
      </c>
      <c r="E110" s="1">
        <v>2</v>
      </c>
      <c r="F110" s="3">
        <v>1059</v>
      </c>
      <c r="G110" s="3"/>
      <c r="H110" s="7">
        <f>DATEVALUE(LEFT(Table5[[#This Row],[Date]],10))</f>
        <v>45553</v>
      </c>
      <c r="I110" t="str">
        <f t="shared" si="21"/>
        <v>Northeast</v>
      </c>
      <c r="J110" t="str">
        <f t="shared" si="22"/>
        <v>Electronics</v>
      </c>
      <c r="K110" t="str">
        <f t="shared" si="23"/>
        <v>Phone</v>
      </c>
      <c r="L110" s="3">
        <f t="shared" si="24"/>
        <v>2118</v>
      </c>
    </row>
    <row r="111" spans="1:12" x14ac:dyDescent="0.3">
      <c r="A111" s="6" t="s">
        <v>143</v>
      </c>
      <c r="B111" t="s">
        <v>20</v>
      </c>
      <c r="C111" t="s">
        <v>10</v>
      </c>
      <c r="D111" t="s">
        <v>15</v>
      </c>
      <c r="E111" s="1">
        <v>4</v>
      </c>
      <c r="F111" s="3">
        <v>1034</v>
      </c>
      <c r="G111" s="3"/>
      <c r="H111" s="7">
        <f>DATEVALUE(LEFT(Table5[[#This Row],[Date]],10))</f>
        <v>45555</v>
      </c>
      <c r="I111" t="str">
        <f t="shared" si="21"/>
        <v>South</v>
      </c>
      <c r="J111" t="str">
        <f t="shared" si="22"/>
        <v>Electronics</v>
      </c>
      <c r="K111" t="str">
        <f t="shared" si="23"/>
        <v>Laptop</v>
      </c>
      <c r="L111" s="3">
        <f t="shared" si="24"/>
        <v>4136</v>
      </c>
    </row>
    <row r="112" spans="1:12" x14ac:dyDescent="0.3">
      <c r="A112" s="6" t="s">
        <v>39</v>
      </c>
      <c r="B112" t="s">
        <v>24</v>
      </c>
      <c r="C112" t="s">
        <v>6</v>
      </c>
      <c r="D112" t="s">
        <v>15</v>
      </c>
      <c r="E112" s="1">
        <v>7</v>
      </c>
      <c r="F112" s="3">
        <v>916</v>
      </c>
      <c r="G112" s="3"/>
      <c r="H112" s="7">
        <f>DATEVALUE(LEFT(Table5[[#This Row],[Date]],10))</f>
        <v>45557</v>
      </c>
      <c r="I112" t="str">
        <f t="shared" si="21"/>
        <v>Midwest</v>
      </c>
      <c r="J112" t="str">
        <f t="shared" si="22"/>
        <v>Home Goods</v>
      </c>
      <c r="K112" t="str">
        <f t="shared" si="23"/>
        <v>Laptop</v>
      </c>
      <c r="L112" s="3">
        <f t="shared" si="24"/>
        <v>6412</v>
      </c>
    </row>
    <row r="113" spans="1:12" x14ac:dyDescent="0.3">
      <c r="A113" s="6" t="s">
        <v>39</v>
      </c>
      <c r="B113" t="s">
        <v>13</v>
      </c>
      <c r="C113" t="s">
        <v>169</v>
      </c>
      <c r="D113" t="s">
        <v>7</v>
      </c>
      <c r="E113" s="1">
        <v>18</v>
      </c>
      <c r="F113" s="3">
        <v>1029</v>
      </c>
      <c r="G113" s="3"/>
      <c r="H113" s="7">
        <f>DATEVALUE(LEFT(Table5[[#This Row],[Date]],10))</f>
        <v>45557</v>
      </c>
      <c r="I113" t="str">
        <f t="shared" si="21"/>
        <v>West</v>
      </c>
      <c r="J113" t="str">
        <f t="shared" si="22"/>
        <v>Clothing</v>
      </c>
      <c r="K113" t="str">
        <f t="shared" si="23"/>
        <v>T-Shirt</v>
      </c>
      <c r="L113" s="3">
        <f t="shared" si="24"/>
        <v>18522</v>
      </c>
    </row>
    <row r="114" spans="1:12" x14ac:dyDescent="0.3">
      <c r="A114" s="6" t="s">
        <v>142</v>
      </c>
      <c r="B114" t="s">
        <v>27</v>
      </c>
      <c r="C114" t="s">
        <v>149</v>
      </c>
      <c r="D114" t="s">
        <v>11</v>
      </c>
      <c r="E114" s="1">
        <v>9</v>
      </c>
      <c r="F114" s="3">
        <v>1028</v>
      </c>
      <c r="G114" s="3"/>
      <c r="H114" s="7">
        <f>DATEVALUE(LEFT(Table5[[#This Row],[Date]],10))</f>
        <v>45559</v>
      </c>
      <c r="I114" t="str">
        <f t="shared" si="21"/>
        <v>Northeast</v>
      </c>
      <c r="J114" t="str">
        <f t="shared" si="22"/>
        <v>Home Goods</v>
      </c>
      <c r="K114" t="str">
        <f t="shared" si="23"/>
        <v>Vacuum</v>
      </c>
      <c r="L114" s="3">
        <f t="shared" si="24"/>
        <v>9252</v>
      </c>
    </row>
    <row r="115" spans="1:12" x14ac:dyDescent="0.3">
      <c r="A115" s="6" t="s">
        <v>113</v>
      </c>
      <c r="B115" t="s">
        <v>9</v>
      </c>
      <c r="C115" t="s">
        <v>10</v>
      </c>
      <c r="D115" t="s">
        <v>15</v>
      </c>
      <c r="E115" s="1">
        <v>2</v>
      </c>
      <c r="F115" s="3">
        <v>517</v>
      </c>
      <c r="G115" s="3"/>
      <c r="H115" s="7">
        <f>DATEVALUE(LEFT(Table5[[#This Row],[Date]],10))</f>
        <v>45560</v>
      </c>
      <c r="I115" t="str">
        <f t="shared" si="21"/>
        <v>West</v>
      </c>
      <c r="J115" t="str">
        <f t="shared" si="22"/>
        <v>Electronics</v>
      </c>
      <c r="K115" t="str">
        <f t="shared" si="23"/>
        <v>Laptop</v>
      </c>
      <c r="L115" s="3">
        <f t="shared" si="24"/>
        <v>1034</v>
      </c>
    </row>
    <row r="116" spans="1:12" x14ac:dyDescent="0.3">
      <c r="A116" s="6" t="s">
        <v>115</v>
      </c>
      <c r="B116" t="s">
        <v>27</v>
      </c>
      <c r="C116" t="s">
        <v>6</v>
      </c>
      <c r="D116" t="s">
        <v>11</v>
      </c>
      <c r="E116" s="1">
        <v>12</v>
      </c>
      <c r="F116" s="3">
        <v>39</v>
      </c>
      <c r="G116" s="3"/>
      <c r="H116" s="7">
        <f>DATEVALUE(LEFT(Table5[[#This Row],[Date]],10))</f>
        <v>45561</v>
      </c>
      <c r="I116" t="str">
        <f t="shared" si="21"/>
        <v>Northeast</v>
      </c>
      <c r="J116" t="str">
        <f t="shared" si="22"/>
        <v>Home Goods</v>
      </c>
      <c r="K116" t="str">
        <f t="shared" si="23"/>
        <v>Vacuum</v>
      </c>
      <c r="L116" s="3">
        <f t="shared" si="24"/>
        <v>468</v>
      </c>
    </row>
    <row r="117" spans="1:12" x14ac:dyDescent="0.3">
      <c r="A117" s="6" t="s">
        <v>107</v>
      </c>
      <c r="B117" t="s">
        <v>27</v>
      </c>
      <c r="C117" t="s">
        <v>18</v>
      </c>
      <c r="D117" t="s">
        <v>21</v>
      </c>
      <c r="E117" s="1">
        <v>13</v>
      </c>
      <c r="F117" s="3">
        <v>441</v>
      </c>
      <c r="G117" s="3"/>
      <c r="H117" s="7">
        <f>DATEVALUE(LEFT(Table5[[#This Row],[Date]],10))</f>
        <v>45566</v>
      </c>
      <c r="I117" t="str">
        <f t="shared" si="21"/>
        <v>Northeast</v>
      </c>
      <c r="J117" t="str">
        <f t="shared" si="22"/>
        <v>Electronics</v>
      </c>
      <c r="K117" t="str">
        <f t="shared" si="23"/>
        <v>Phone</v>
      </c>
      <c r="L117" s="3">
        <f t="shared" si="24"/>
        <v>5733</v>
      </c>
    </row>
    <row r="118" spans="1:12" x14ac:dyDescent="0.3">
      <c r="A118" s="6" t="s">
        <v>106</v>
      </c>
      <c r="B118" t="s">
        <v>27</v>
      </c>
      <c r="C118" t="s">
        <v>18</v>
      </c>
      <c r="D118" t="s">
        <v>15</v>
      </c>
      <c r="E118" s="1">
        <v>7</v>
      </c>
      <c r="F118" s="3">
        <v>81</v>
      </c>
      <c r="G118" s="3"/>
      <c r="H118" s="7">
        <f>DATEVALUE(LEFT(Table5[[#This Row],[Date]],10))</f>
        <v>45567</v>
      </c>
      <c r="I118" t="str">
        <f t="shared" si="21"/>
        <v>Northeast</v>
      </c>
      <c r="J118" t="str">
        <f t="shared" si="22"/>
        <v>Electronics</v>
      </c>
      <c r="K118" t="str">
        <f t="shared" si="23"/>
        <v>Laptop</v>
      </c>
      <c r="L118" s="3">
        <f t="shared" si="24"/>
        <v>567</v>
      </c>
    </row>
    <row r="119" spans="1:12" x14ac:dyDescent="0.3">
      <c r="A119" s="6" t="s">
        <v>62</v>
      </c>
      <c r="B119" t="s">
        <v>13</v>
      </c>
      <c r="C119" t="s">
        <v>170</v>
      </c>
      <c r="D119" t="s">
        <v>12</v>
      </c>
      <c r="E119" s="1">
        <v>13</v>
      </c>
      <c r="F119" s="3">
        <v>193</v>
      </c>
      <c r="G119" s="3"/>
      <c r="H119" s="7">
        <f>DATEVALUE(LEFT(Table5[[#This Row],[Date]],10))</f>
        <v>45569</v>
      </c>
      <c r="I119" t="str">
        <f t="shared" si="21"/>
        <v>West</v>
      </c>
      <c r="J119" t="str">
        <f t="shared" si="22"/>
        <v>Clothing</v>
      </c>
      <c r="K119" t="str">
        <f t="shared" si="23"/>
        <v>Jeans</v>
      </c>
      <c r="L119" s="3">
        <f t="shared" si="24"/>
        <v>2509</v>
      </c>
    </row>
    <row r="120" spans="1:12" x14ac:dyDescent="0.3">
      <c r="A120" s="6" t="s">
        <v>17</v>
      </c>
      <c r="B120" t="s">
        <v>9</v>
      </c>
      <c r="C120" t="s">
        <v>170</v>
      </c>
      <c r="D120" t="s">
        <v>7</v>
      </c>
      <c r="E120" s="1">
        <v>8</v>
      </c>
      <c r="F120" s="3">
        <v>1195</v>
      </c>
      <c r="G120" s="3"/>
      <c r="H120" s="7">
        <f>DATEVALUE(LEFT(Table5[[#This Row],[Date]],10))</f>
        <v>45571</v>
      </c>
      <c r="I120" t="str">
        <f t="shared" si="21"/>
        <v>West</v>
      </c>
      <c r="J120" t="str">
        <f t="shared" si="22"/>
        <v>Clothing</v>
      </c>
      <c r="K120" t="str">
        <f t="shared" si="23"/>
        <v>T-Shirt</v>
      </c>
      <c r="L120" s="3">
        <f t="shared" si="24"/>
        <v>9560</v>
      </c>
    </row>
    <row r="121" spans="1:12" x14ac:dyDescent="0.3">
      <c r="A121" s="6" t="s">
        <v>58</v>
      </c>
      <c r="B121" t="s">
        <v>9</v>
      </c>
      <c r="C121" t="s">
        <v>6</v>
      </c>
      <c r="D121" t="s">
        <v>23</v>
      </c>
      <c r="E121" s="1">
        <v>19</v>
      </c>
      <c r="F121" s="3">
        <v>765</v>
      </c>
      <c r="G121" s="3"/>
      <c r="H121" s="7">
        <f>DATEVALUE(LEFT(Table5[[#This Row],[Date]],10))</f>
        <v>45572</v>
      </c>
      <c r="I121" t="str">
        <f t="shared" si="21"/>
        <v>West</v>
      </c>
      <c r="J121" t="str">
        <f t="shared" si="22"/>
        <v>Home Goods</v>
      </c>
      <c r="K121" t="str">
        <f t="shared" si="23"/>
        <v>Lamp</v>
      </c>
      <c r="L121" s="3">
        <f t="shared" si="24"/>
        <v>14535</v>
      </c>
    </row>
    <row r="122" spans="1:12" x14ac:dyDescent="0.3">
      <c r="A122" s="6" t="s">
        <v>100</v>
      </c>
      <c r="B122" t="s">
        <v>27</v>
      </c>
      <c r="C122" t="s">
        <v>14</v>
      </c>
      <c r="D122" t="s">
        <v>7</v>
      </c>
      <c r="E122" s="1">
        <v>12</v>
      </c>
      <c r="F122" s="3">
        <v>939</v>
      </c>
      <c r="G122" s="3"/>
      <c r="H122" s="7">
        <f>DATEVALUE(LEFT(Table5[[#This Row],[Date]],10))</f>
        <v>45573</v>
      </c>
      <c r="I122" t="str">
        <f t="shared" si="21"/>
        <v>Northeast</v>
      </c>
      <c r="J122" t="str">
        <f t="shared" si="22"/>
        <v>Clothing</v>
      </c>
      <c r="K122" t="str">
        <f t="shared" si="23"/>
        <v>T-Shirt</v>
      </c>
      <c r="L122" s="3">
        <f t="shared" si="24"/>
        <v>11268</v>
      </c>
    </row>
    <row r="123" spans="1:12" x14ac:dyDescent="0.3">
      <c r="A123" s="6" t="s">
        <v>103</v>
      </c>
      <c r="B123" t="s">
        <v>27</v>
      </c>
      <c r="C123" t="s">
        <v>168</v>
      </c>
      <c r="D123" t="s">
        <v>23</v>
      </c>
      <c r="E123" s="1">
        <v>2</v>
      </c>
      <c r="F123" s="3">
        <v>624</v>
      </c>
      <c r="G123" s="3"/>
      <c r="H123" s="7">
        <f>DATEVALUE(LEFT(Table5[[#This Row],[Date]],10))</f>
        <v>45576</v>
      </c>
      <c r="I123" t="str">
        <f t="shared" ref="I123:I139" si="25">PROPER(TRIM(B123))</f>
        <v>Northeast</v>
      </c>
      <c r="J123" t="str">
        <f t="shared" ref="J123:J139" si="26">PROPER(TRIM(C123))</f>
        <v>Home Goods</v>
      </c>
      <c r="K123" t="str">
        <f t="shared" ref="K123:K139" si="27">PROPER(TRIM(D123))</f>
        <v>Lamp</v>
      </c>
      <c r="L123" s="3">
        <f t="shared" ref="L123:L138" si="28">F123*E123</f>
        <v>1248</v>
      </c>
    </row>
    <row r="124" spans="1:12" x14ac:dyDescent="0.3">
      <c r="A124" s="6" t="s">
        <v>91</v>
      </c>
      <c r="B124" t="s">
        <v>20</v>
      </c>
      <c r="C124" t="s">
        <v>6</v>
      </c>
      <c r="D124" t="s">
        <v>23</v>
      </c>
      <c r="E124" s="1">
        <v>15</v>
      </c>
      <c r="F124" s="3">
        <v>705</v>
      </c>
      <c r="G124" s="3"/>
      <c r="H124" s="7">
        <f>DATEVALUE(LEFT(Table5[[#This Row],[Date]],10))</f>
        <v>45581</v>
      </c>
      <c r="I124" t="str">
        <f t="shared" si="25"/>
        <v>South</v>
      </c>
      <c r="J124" t="str">
        <f t="shared" si="26"/>
        <v>Home Goods</v>
      </c>
      <c r="K124" t="str">
        <f t="shared" si="27"/>
        <v>Lamp</v>
      </c>
      <c r="L124" s="3">
        <f t="shared" si="28"/>
        <v>10575</v>
      </c>
    </row>
    <row r="125" spans="1:12" x14ac:dyDescent="0.3">
      <c r="A125" s="6" t="s">
        <v>84</v>
      </c>
      <c r="B125" t="s">
        <v>24</v>
      </c>
      <c r="C125" t="s">
        <v>149</v>
      </c>
      <c r="D125" t="s">
        <v>11</v>
      </c>
      <c r="E125" s="1">
        <v>7</v>
      </c>
      <c r="F125" s="3">
        <v>1011</v>
      </c>
      <c r="G125" s="3"/>
      <c r="H125" s="7">
        <f>DATEVALUE(LEFT(Table5[[#This Row],[Date]],10))</f>
        <v>45589</v>
      </c>
      <c r="I125" t="str">
        <f t="shared" si="25"/>
        <v>Midwest</v>
      </c>
      <c r="J125" t="str">
        <f t="shared" si="26"/>
        <v>Home Goods</v>
      </c>
      <c r="K125" t="str">
        <f t="shared" si="27"/>
        <v>Vacuum</v>
      </c>
      <c r="L125" s="3">
        <f t="shared" si="28"/>
        <v>7077</v>
      </c>
    </row>
    <row r="126" spans="1:12" x14ac:dyDescent="0.3">
      <c r="A126" s="6" t="s">
        <v>33</v>
      </c>
      <c r="B126" t="s">
        <v>9</v>
      </c>
      <c r="C126" t="s">
        <v>14</v>
      </c>
      <c r="D126" t="s">
        <v>12</v>
      </c>
      <c r="E126" s="1">
        <v>11</v>
      </c>
      <c r="F126" s="3">
        <v>1041</v>
      </c>
      <c r="G126" s="3"/>
      <c r="H126" s="7">
        <f>DATEVALUE(LEFT(Table5[[#This Row],[Date]],10))</f>
        <v>45590</v>
      </c>
      <c r="I126" t="str">
        <f t="shared" si="25"/>
        <v>West</v>
      </c>
      <c r="J126" t="str">
        <f t="shared" si="26"/>
        <v>Clothing</v>
      </c>
      <c r="K126" t="str">
        <f t="shared" si="27"/>
        <v>Jeans</v>
      </c>
      <c r="L126" s="3">
        <f t="shared" si="28"/>
        <v>11451</v>
      </c>
    </row>
    <row r="127" spans="1:12" x14ac:dyDescent="0.3">
      <c r="A127" s="6" t="s">
        <v>101</v>
      </c>
      <c r="B127" t="s">
        <v>31</v>
      </c>
      <c r="C127" t="s">
        <v>10</v>
      </c>
      <c r="D127" t="s">
        <v>25</v>
      </c>
      <c r="E127" s="1">
        <v>9</v>
      </c>
      <c r="F127" s="3">
        <v>459</v>
      </c>
      <c r="G127" s="3"/>
      <c r="H127" s="7">
        <f>DATEVALUE(LEFT(Table5[[#This Row],[Date]],10))</f>
        <v>45591</v>
      </c>
      <c r="I127" t="str">
        <f t="shared" si="25"/>
        <v>West</v>
      </c>
      <c r="J127" t="str">
        <f t="shared" si="26"/>
        <v>Electronics</v>
      </c>
      <c r="K127" t="str">
        <f t="shared" si="27"/>
        <v>Tablet</v>
      </c>
      <c r="L127" s="3">
        <f t="shared" si="28"/>
        <v>4131</v>
      </c>
    </row>
    <row r="128" spans="1:12" x14ac:dyDescent="0.3">
      <c r="A128" s="6" t="s">
        <v>82</v>
      </c>
      <c r="B128" t="s">
        <v>20</v>
      </c>
      <c r="C128" t="s">
        <v>14</v>
      </c>
      <c r="D128" t="s">
        <v>7</v>
      </c>
      <c r="E128" s="1">
        <v>9</v>
      </c>
      <c r="F128" s="3">
        <v>992</v>
      </c>
      <c r="G128" s="3"/>
      <c r="H128" s="7">
        <f>DATEVALUE(LEFT(Table5[[#This Row],[Date]],10))</f>
        <v>45594</v>
      </c>
      <c r="I128" t="str">
        <f t="shared" si="25"/>
        <v>South</v>
      </c>
      <c r="J128" t="str">
        <f t="shared" si="26"/>
        <v>Clothing</v>
      </c>
      <c r="K128" t="str">
        <f t="shared" si="27"/>
        <v>T-Shirt</v>
      </c>
      <c r="L128" s="3">
        <f t="shared" si="28"/>
        <v>8928</v>
      </c>
    </row>
    <row r="129" spans="1:12" x14ac:dyDescent="0.3">
      <c r="A129" s="6" t="s">
        <v>82</v>
      </c>
      <c r="B129" t="s">
        <v>27</v>
      </c>
      <c r="C129" t="s">
        <v>14</v>
      </c>
      <c r="D129" t="s">
        <v>7</v>
      </c>
      <c r="E129" s="1">
        <v>1</v>
      </c>
      <c r="F129" s="3">
        <v>882</v>
      </c>
      <c r="G129" s="3"/>
      <c r="H129" s="7">
        <f>DATEVALUE(LEFT(Table5[[#This Row],[Date]],10))</f>
        <v>45594</v>
      </c>
      <c r="I129" t="str">
        <f t="shared" si="25"/>
        <v>Northeast</v>
      </c>
      <c r="J129" t="str">
        <f t="shared" si="26"/>
        <v>Clothing</v>
      </c>
      <c r="K129" t="str">
        <f t="shared" si="27"/>
        <v>T-Shirt</v>
      </c>
      <c r="L129" s="3">
        <f t="shared" si="28"/>
        <v>882</v>
      </c>
    </row>
    <row r="130" spans="1:12" x14ac:dyDescent="0.3">
      <c r="A130" s="6" t="s">
        <v>94</v>
      </c>
      <c r="B130" t="s">
        <v>20</v>
      </c>
      <c r="C130" t="s">
        <v>10</v>
      </c>
      <c r="D130" t="s">
        <v>15</v>
      </c>
      <c r="E130" s="1">
        <v>12</v>
      </c>
      <c r="F130" s="3">
        <v>947</v>
      </c>
      <c r="G130" s="3"/>
      <c r="H130" s="7">
        <f>DATEVALUE(LEFT(Table5[[#This Row],[Date]],10))</f>
        <v>45595</v>
      </c>
      <c r="I130" t="str">
        <f t="shared" si="25"/>
        <v>South</v>
      </c>
      <c r="J130" t="str">
        <f t="shared" si="26"/>
        <v>Electronics</v>
      </c>
      <c r="K130" t="str">
        <f t="shared" si="27"/>
        <v>Laptop</v>
      </c>
      <c r="L130" s="3">
        <f t="shared" si="28"/>
        <v>11364</v>
      </c>
    </row>
    <row r="131" spans="1:12" x14ac:dyDescent="0.3">
      <c r="A131" s="6" t="s">
        <v>78</v>
      </c>
      <c r="B131" t="s">
        <v>24</v>
      </c>
      <c r="C131" t="s">
        <v>149</v>
      </c>
      <c r="D131" t="s">
        <v>11</v>
      </c>
      <c r="E131" s="1">
        <v>13</v>
      </c>
      <c r="F131" s="3">
        <v>589</v>
      </c>
      <c r="G131" s="3"/>
      <c r="H131" s="7">
        <f>DATEVALUE(LEFT(Table5[[#This Row],[Date]],10))</f>
        <v>45596</v>
      </c>
      <c r="I131" t="str">
        <f t="shared" si="25"/>
        <v>Midwest</v>
      </c>
      <c r="J131" t="str">
        <f t="shared" si="26"/>
        <v>Home Goods</v>
      </c>
      <c r="K131" t="str">
        <f t="shared" si="27"/>
        <v>Vacuum</v>
      </c>
      <c r="L131" s="3">
        <f t="shared" si="28"/>
        <v>7657</v>
      </c>
    </row>
    <row r="132" spans="1:12" x14ac:dyDescent="0.3">
      <c r="A132" s="6" t="s">
        <v>78</v>
      </c>
      <c r="B132" t="s">
        <v>20</v>
      </c>
      <c r="C132" t="s">
        <v>6</v>
      </c>
      <c r="D132" t="s">
        <v>11</v>
      </c>
      <c r="E132" s="1">
        <v>3</v>
      </c>
      <c r="F132" s="3">
        <v>1112</v>
      </c>
      <c r="G132" s="3"/>
      <c r="H132" s="7">
        <f>DATEVALUE(LEFT(Table5[[#This Row],[Date]],10))</f>
        <v>45596</v>
      </c>
      <c r="I132" t="str">
        <f t="shared" si="25"/>
        <v>South</v>
      </c>
      <c r="J132" t="str">
        <f t="shared" si="26"/>
        <v>Home Goods</v>
      </c>
      <c r="K132" t="str">
        <f t="shared" si="27"/>
        <v>Vacuum</v>
      </c>
      <c r="L132" s="3">
        <f t="shared" si="28"/>
        <v>3336</v>
      </c>
    </row>
    <row r="133" spans="1:12" x14ac:dyDescent="0.3">
      <c r="A133" s="6" t="s">
        <v>120</v>
      </c>
      <c r="B133" t="s">
        <v>20</v>
      </c>
      <c r="C133" t="s">
        <v>14</v>
      </c>
      <c r="D133" t="s">
        <v>7</v>
      </c>
      <c r="E133" s="1">
        <v>16</v>
      </c>
      <c r="F133" s="3">
        <v>1017</v>
      </c>
      <c r="G133" s="3"/>
      <c r="H133" s="7">
        <f>DATEVALUE(LEFT(Table5[[#This Row],[Date]],10))</f>
        <v>45600</v>
      </c>
      <c r="I133" t="str">
        <f t="shared" si="25"/>
        <v>South</v>
      </c>
      <c r="J133" t="str">
        <f t="shared" si="26"/>
        <v>Clothing</v>
      </c>
      <c r="K133" t="str">
        <f t="shared" si="27"/>
        <v>T-Shirt</v>
      </c>
      <c r="L133" s="3">
        <f t="shared" si="28"/>
        <v>16272</v>
      </c>
    </row>
    <row r="134" spans="1:12" x14ac:dyDescent="0.3">
      <c r="A134" s="6" t="s">
        <v>42</v>
      </c>
      <c r="B134" t="s">
        <v>24</v>
      </c>
      <c r="C134" t="s">
        <v>18</v>
      </c>
      <c r="D134" t="s">
        <v>21</v>
      </c>
      <c r="E134" s="1">
        <v>4</v>
      </c>
      <c r="F134" s="3">
        <v>791</v>
      </c>
      <c r="G134" s="3"/>
      <c r="H134" s="7">
        <f>DATEVALUE(LEFT(Table5[[#This Row],[Date]],10))</f>
        <v>45605</v>
      </c>
      <c r="I134" t="str">
        <f t="shared" si="25"/>
        <v>Midwest</v>
      </c>
      <c r="J134" t="str">
        <f t="shared" si="26"/>
        <v>Electronics</v>
      </c>
      <c r="K134" t="str">
        <f t="shared" si="27"/>
        <v>Phone</v>
      </c>
      <c r="L134" s="3">
        <f t="shared" si="28"/>
        <v>3164</v>
      </c>
    </row>
    <row r="135" spans="1:12" x14ac:dyDescent="0.3">
      <c r="A135" s="6" t="s">
        <v>117</v>
      </c>
      <c r="B135" t="s">
        <v>27</v>
      </c>
      <c r="C135" t="s">
        <v>14</v>
      </c>
      <c r="D135" t="s">
        <v>7</v>
      </c>
      <c r="E135" s="1">
        <v>10</v>
      </c>
      <c r="F135" s="3">
        <v>250</v>
      </c>
      <c r="G135" s="3"/>
      <c r="H135" s="7">
        <f>DATEVALUE(LEFT(Table5[[#This Row],[Date]],10))</f>
        <v>45608</v>
      </c>
      <c r="I135" t="str">
        <f t="shared" si="25"/>
        <v>Northeast</v>
      </c>
      <c r="J135" t="str">
        <f t="shared" si="26"/>
        <v>Clothing</v>
      </c>
      <c r="K135" t="str">
        <f t="shared" si="27"/>
        <v>T-Shirt</v>
      </c>
      <c r="L135" s="3">
        <f t="shared" si="28"/>
        <v>2500</v>
      </c>
    </row>
    <row r="136" spans="1:12" x14ac:dyDescent="0.3">
      <c r="A136" s="6" t="s">
        <v>118</v>
      </c>
      <c r="B136" t="s">
        <v>13</v>
      </c>
      <c r="C136" t="s">
        <v>149</v>
      </c>
      <c r="D136" t="s">
        <v>11</v>
      </c>
      <c r="E136" s="1">
        <v>4</v>
      </c>
      <c r="F136" s="3">
        <v>988</v>
      </c>
      <c r="G136" s="3"/>
      <c r="H136" s="7">
        <f>DATEVALUE(LEFT(Table5[[#This Row],[Date]],10))</f>
        <v>45609</v>
      </c>
      <c r="I136" t="str">
        <f t="shared" si="25"/>
        <v>West</v>
      </c>
      <c r="J136" t="str">
        <f t="shared" si="26"/>
        <v>Home Goods</v>
      </c>
      <c r="K136" t="str">
        <f t="shared" si="27"/>
        <v>Vacuum</v>
      </c>
      <c r="L136" s="3">
        <f t="shared" si="28"/>
        <v>3952</v>
      </c>
    </row>
    <row r="137" spans="1:12" x14ac:dyDescent="0.3">
      <c r="A137" s="6" t="s">
        <v>26</v>
      </c>
      <c r="B137" t="s">
        <v>27</v>
      </c>
      <c r="C137" t="s">
        <v>14</v>
      </c>
      <c r="D137" t="s">
        <v>12</v>
      </c>
      <c r="E137" s="1">
        <v>16</v>
      </c>
      <c r="F137" s="3">
        <v>847</v>
      </c>
      <c r="G137" s="3"/>
      <c r="H137" s="7">
        <f>DATEVALUE(LEFT(Table5[[#This Row],[Date]],10))</f>
        <v>45615</v>
      </c>
      <c r="I137" t="str">
        <f t="shared" si="25"/>
        <v>Northeast</v>
      </c>
      <c r="J137" t="str">
        <f t="shared" si="26"/>
        <v>Clothing</v>
      </c>
      <c r="K137" t="str">
        <f t="shared" si="27"/>
        <v>Jeans</v>
      </c>
      <c r="L137" s="3">
        <f t="shared" si="28"/>
        <v>13552</v>
      </c>
    </row>
    <row r="138" spans="1:12" x14ac:dyDescent="0.3">
      <c r="A138" s="6" t="s">
        <v>124</v>
      </c>
      <c r="B138" t="s">
        <v>9</v>
      </c>
      <c r="C138" t="s">
        <v>6</v>
      </c>
      <c r="D138" t="s">
        <v>23</v>
      </c>
      <c r="E138" s="1">
        <v>6</v>
      </c>
      <c r="F138" s="3">
        <v>922</v>
      </c>
      <c r="G138" s="3"/>
      <c r="H138" s="7">
        <f>DATEVALUE(LEFT(Table5[[#This Row],[Date]],10))</f>
        <v>45622</v>
      </c>
      <c r="I138" t="str">
        <f t="shared" si="25"/>
        <v>West</v>
      </c>
      <c r="J138" t="str">
        <f t="shared" si="26"/>
        <v>Home Goods</v>
      </c>
      <c r="K138" t="str">
        <f t="shared" si="27"/>
        <v>Lamp</v>
      </c>
      <c r="L138" s="3">
        <f t="shared" si="28"/>
        <v>5532</v>
      </c>
    </row>
    <row r="139" spans="1:12" x14ac:dyDescent="0.3">
      <c r="A139" s="6" t="s">
        <v>65</v>
      </c>
      <c r="B139" t="s">
        <v>9</v>
      </c>
      <c r="C139" t="s">
        <v>10</v>
      </c>
      <c r="D139" t="s">
        <v>15</v>
      </c>
      <c r="E139" s="1">
        <v>12</v>
      </c>
      <c r="F139" s="3">
        <v>851</v>
      </c>
      <c r="G139" s="3"/>
      <c r="H139" s="7">
        <f>DATEVALUE(LEFT(Table5[[#This Row],[Date]],10))</f>
        <v>45625</v>
      </c>
      <c r="I139" t="str">
        <f t="shared" si="25"/>
        <v>West</v>
      </c>
      <c r="J139" t="str">
        <f t="shared" si="26"/>
        <v>Electronics</v>
      </c>
      <c r="K139" t="str">
        <f t="shared" si="27"/>
        <v>Laptop</v>
      </c>
      <c r="L139" s="3">
        <f t="shared" ref="L139:L149" si="29">F139*E139</f>
        <v>10212</v>
      </c>
    </row>
    <row r="140" spans="1:12" x14ac:dyDescent="0.3">
      <c r="A140" s="6" t="s">
        <v>71</v>
      </c>
      <c r="B140" t="s">
        <v>20</v>
      </c>
      <c r="C140" t="s">
        <v>14</v>
      </c>
      <c r="D140" t="s">
        <v>7</v>
      </c>
      <c r="E140" s="1">
        <v>3</v>
      </c>
      <c r="F140" s="3">
        <v>1183</v>
      </c>
      <c r="G140" s="3"/>
      <c r="H140" s="7">
        <f>DATEVALUE(LEFT(Table5[[#This Row],[Date]],10))</f>
        <v>45626</v>
      </c>
      <c r="I140" t="str">
        <f t="shared" ref="I140:I149" si="30">PROPER(TRIM(B140))</f>
        <v>South</v>
      </c>
      <c r="J140" t="str">
        <f t="shared" ref="J140:J149" si="31">PROPER(TRIM(C140))</f>
        <v>Clothing</v>
      </c>
      <c r="K140" t="str">
        <f t="shared" ref="K140:K149" si="32">PROPER(TRIM(D140))</f>
        <v>T-Shirt</v>
      </c>
      <c r="L140" s="3">
        <f t="shared" si="29"/>
        <v>3549</v>
      </c>
    </row>
    <row r="141" spans="1:12" x14ac:dyDescent="0.3">
      <c r="A141" s="6" t="s">
        <v>90</v>
      </c>
      <c r="B141" t="s">
        <v>9</v>
      </c>
      <c r="C141" t="s">
        <v>10</v>
      </c>
      <c r="D141" t="s">
        <v>25</v>
      </c>
      <c r="E141" s="1">
        <v>3</v>
      </c>
      <c r="F141" s="3">
        <v>895</v>
      </c>
      <c r="G141" s="3"/>
      <c r="H141" s="7">
        <f>DATEVALUE(LEFT(Table5[[#This Row],[Date]],10))</f>
        <v>45629</v>
      </c>
      <c r="I141" t="str">
        <f t="shared" si="30"/>
        <v>West</v>
      </c>
      <c r="J141" t="str">
        <f t="shared" si="31"/>
        <v>Electronics</v>
      </c>
      <c r="K141" t="str">
        <f t="shared" si="32"/>
        <v>Tablet</v>
      </c>
      <c r="L141" s="3">
        <f t="shared" si="29"/>
        <v>2685</v>
      </c>
    </row>
    <row r="142" spans="1:12" x14ac:dyDescent="0.3">
      <c r="A142" s="6" t="s">
        <v>90</v>
      </c>
      <c r="B142" t="s">
        <v>24</v>
      </c>
      <c r="C142" t="s">
        <v>10</v>
      </c>
      <c r="D142" t="s">
        <v>21</v>
      </c>
      <c r="E142" s="1">
        <v>7</v>
      </c>
      <c r="F142" s="3">
        <v>174</v>
      </c>
      <c r="G142" s="3"/>
      <c r="H142" s="7">
        <f>DATEVALUE(LEFT(Table5[[#This Row],[Date]],10))</f>
        <v>45629</v>
      </c>
      <c r="I142" t="str">
        <f t="shared" si="30"/>
        <v>Midwest</v>
      </c>
      <c r="J142" t="str">
        <f t="shared" si="31"/>
        <v>Electronics</v>
      </c>
      <c r="K142" t="str">
        <f t="shared" si="32"/>
        <v>Phone</v>
      </c>
      <c r="L142" s="3">
        <f t="shared" si="29"/>
        <v>1218</v>
      </c>
    </row>
    <row r="143" spans="1:12" x14ac:dyDescent="0.3">
      <c r="A143" s="6" t="s">
        <v>123</v>
      </c>
      <c r="B143" t="s">
        <v>9</v>
      </c>
      <c r="C143" t="s">
        <v>14</v>
      </c>
      <c r="D143" t="s">
        <v>7</v>
      </c>
      <c r="E143" s="1">
        <v>1</v>
      </c>
      <c r="F143" s="3">
        <v>221</v>
      </c>
      <c r="G143" s="3"/>
      <c r="H143" s="7">
        <f>DATEVALUE(LEFT(Table5[[#This Row],[Date]],10))</f>
        <v>45631</v>
      </c>
      <c r="I143" t="str">
        <f t="shared" si="30"/>
        <v>West</v>
      </c>
      <c r="J143" t="str">
        <f t="shared" si="31"/>
        <v>Clothing</v>
      </c>
      <c r="K143" t="str">
        <f t="shared" si="32"/>
        <v>T-Shirt</v>
      </c>
      <c r="L143" s="3">
        <f t="shared" si="29"/>
        <v>221</v>
      </c>
    </row>
    <row r="144" spans="1:12" x14ac:dyDescent="0.3">
      <c r="A144" s="6" t="s">
        <v>55</v>
      </c>
      <c r="B144" t="s">
        <v>27</v>
      </c>
      <c r="C144" t="s">
        <v>14</v>
      </c>
      <c r="D144" t="s">
        <v>12</v>
      </c>
      <c r="E144" s="1">
        <v>12</v>
      </c>
      <c r="F144" s="3">
        <v>315</v>
      </c>
      <c r="G144" s="3"/>
      <c r="H144" s="7">
        <f>DATEVALUE(LEFT(Table5[[#This Row],[Date]],10))</f>
        <v>45634</v>
      </c>
      <c r="I144" t="str">
        <f t="shared" si="30"/>
        <v>Northeast</v>
      </c>
      <c r="J144" t="str">
        <f t="shared" si="31"/>
        <v>Clothing</v>
      </c>
      <c r="K144" t="str">
        <f t="shared" si="32"/>
        <v>Jeans</v>
      </c>
      <c r="L144" s="3">
        <f t="shared" si="29"/>
        <v>3780</v>
      </c>
    </row>
    <row r="145" spans="1:12" x14ac:dyDescent="0.3">
      <c r="A145" s="6" t="s">
        <v>77</v>
      </c>
      <c r="B145" t="s">
        <v>31</v>
      </c>
      <c r="C145" t="s">
        <v>6</v>
      </c>
      <c r="D145" t="s">
        <v>11</v>
      </c>
      <c r="E145" s="1">
        <v>3</v>
      </c>
      <c r="F145" s="3">
        <v>882</v>
      </c>
      <c r="G145" s="3"/>
      <c r="H145" s="7">
        <f>DATEVALUE(LEFT(Table5[[#This Row],[Date]],10))</f>
        <v>45637</v>
      </c>
      <c r="I145" t="str">
        <f t="shared" si="30"/>
        <v>West</v>
      </c>
      <c r="J145" t="str">
        <f t="shared" si="31"/>
        <v>Home Goods</v>
      </c>
      <c r="K145" t="str">
        <f t="shared" si="32"/>
        <v>Vacuum</v>
      </c>
      <c r="L145" s="3">
        <f t="shared" si="29"/>
        <v>2646</v>
      </c>
    </row>
    <row r="146" spans="1:12" x14ac:dyDescent="0.3">
      <c r="A146" s="6" t="s">
        <v>99</v>
      </c>
      <c r="B146" t="s">
        <v>24</v>
      </c>
      <c r="C146" t="s">
        <v>14</v>
      </c>
      <c r="D146" t="s">
        <v>7</v>
      </c>
      <c r="E146" s="1">
        <v>19</v>
      </c>
      <c r="F146" s="3">
        <v>1158</v>
      </c>
      <c r="G146" s="3"/>
      <c r="H146" s="7">
        <f>DATEVALUE(LEFT(Table5[[#This Row],[Date]],10))</f>
        <v>45638</v>
      </c>
      <c r="I146" t="str">
        <f t="shared" si="30"/>
        <v>Midwest</v>
      </c>
      <c r="J146" t="str">
        <f t="shared" si="31"/>
        <v>Clothing</v>
      </c>
      <c r="K146" t="str">
        <f t="shared" si="32"/>
        <v>T-Shirt</v>
      </c>
      <c r="L146" s="3">
        <f t="shared" si="29"/>
        <v>22002</v>
      </c>
    </row>
    <row r="147" spans="1:12" x14ac:dyDescent="0.3">
      <c r="A147" s="6" t="s">
        <v>53</v>
      </c>
      <c r="B147" t="s">
        <v>24</v>
      </c>
      <c r="C147" t="s">
        <v>10</v>
      </c>
      <c r="D147" t="s">
        <v>15</v>
      </c>
      <c r="E147" s="1">
        <v>6</v>
      </c>
      <c r="F147" s="3">
        <v>1192</v>
      </c>
      <c r="G147" s="3"/>
      <c r="H147" s="7">
        <f>DATEVALUE(LEFT(Table5[[#This Row],[Date]],10))</f>
        <v>45645</v>
      </c>
      <c r="I147" t="str">
        <f t="shared" si="30"/>
        <v>Midwest</v>
      </c>
      <c r="J147" t="str">
        <f t="shared" si="31"/>
        <v>Electronics</v>
      </c>
      <c r="K147" t="str">
        <f t="shared" si="32"/>
        <v>Laptop</v>
      </c>
      <c r="L147" s="3">
        <f t="shared" si="29"/>
        <v>7152</v>
      </c>
    </row>
    <row r="148" spans="1:12" x14ac:dyDescent="0.3">
      <c r="A148" s="6" t="s">
        <v>53</v>
      </c>
      <c r="B148" t="s">
        <v>20</v>
      </c>
      <c r="C148" t="s">
        <v>168</v>
      </c>
      <c r="D148" t="s">
        <v>11</v>
      </c>
      <c r="E148" s="1">
        <v>3</v>
      </c>
      <c r="F148" s="3">
        <v>726</v>
      </c>
      <c r="G148" s="3"/>
      <c r="H148" s="7">
        <f>DATEVALUE(LEFT(Table5[[#This Row],[Date]],10))</f>
        <v>45645</v>
      </c>
      <c r="I148" t="str">
        <f t="shared" si="30"/>
        <v>South</v>
      </c>
      <c r="J148" t="str">
        <f t="shared" si="31"/>
        <v>Home Goods</v>
      </c>
      <c r="K148" t="str">
        <f t="shared" si="32"/>
        <v>Vacuum</v>
      </c>
      <c r="L148" s="3">
        <f t="shared" si="29"/>
        <v>2178</v>
      </c>
    </row>
    <row r="149" spans="1:12" x14ac:dyDescent="0.3">
      <c r="A149" s="6" t="s">
        <v>109</v>
      </c>
      <c r="B149" t="s">
        <v>27</v>
      </c>
      <c r="C149" t="s">
        <v>168</v>
      </c>
      <c r="D149" t="s">
        <v>23</v>
      </c>
      <c r="E149" s="1">
        <v>7</v>
      </c>
      <c r="F149" s="3">
        <v>179</v>
      </c>
      <c r="G149" s="3"/>
      <c r="H149" s="7">
        <f>DATEVALUE(LEFT(Table5[[#This Row],[Date]],10))</f>
        <v>45656</v>
      </c>
      <c r="I149" t="str">
        <f t="shared" si="30"/>
        <v>Northeast</v>
      </c>
      <c r="J149" t="str">
        <f t="shared" si="31"/>
        <v>Home Goods</v>
      </c>
      <c r="K149" t="str">
        <f t="shared" si="32"/>
        <v>Lamp</v>
      </c>
      <c r="L149" s="3">
        <f t="shared" si="29"/>
        <v>1253</v>
      </c>
    </row>
    <row r="150" spans="1:12" x14ac:dyDescent="0.3">
      <c r="D150"/>
      <c r="E150"/>
    </row>
    <row r="151" spans="1:12" x14ac:dyDescent="0.3">
      <c r="D151"/>
      <c r="E151"/>
    </row>
    <row r="152" spans="1:12" x14ac:dyDescent="0.3">
      <c r="D152"/>
      <c r="E152"/>
    </row>
    <row r="153" spans="1:12" x14ac:dyDescent="0.3">
      <c r="D153"/>
      <c r="E153"/>
    </row>
    <row r="154" spans="1:12" x14ac:dyDescent="0.3">
      <c r="D154"/>
      <c r="E154"/>
    </row>
    <row r="155" spans="1:12" x14ac:dyDescent="0.3">
      <c r="D155"/>
      <c r="E155"/>
    </row>
    <row r="156" spans="1:12" x14ac:dyDescent="0.3">
      <c r="D156"/>
      <c r="E156"/>
    </row>
    <row r="157" spans="1:12" x14ac:dyDescent="0.3">
      <c r="D157"/>
      <c r="E157"/>
    </row>
    <row r="158" spans="1:12" x14ac:dyDescent="0.3">
      <c r="D158"/>
      <c r="E158"/>
    </row>
    <row r="159" spans="1:12" x14ac:dyDescent="0.3">
      <c r="D159"/>
      <c r="E159"/>
    </row>
    <row r="160" spans="1:12" x14ac:dyDescent="0.3">
      <c r="D160"/>
      <c r="E160"/>
    </row>
    <row r="161" spans="4:5" x14ac:dyDescent="0.3">
      <c r="D161"/>
      <c r="E161"/>
    </row>
    <row r="162" spans="4:5" x14ac:dyDescent="0.3">
      <c r="D162"/>
      <c r="E162"/>
    </row>
    <row r="163" spans="4:5" x14ac:dyDescent="0.3">
      <c r="D163"/>
      <c r="E163"/>
    </row>
    <row r="164" spans="4:5" x14ac:dyDescent="0.3">
      <c r="D164"/>
      <c r="E164"/>
    </row>
  </sheetData>
  <sortState xmlns:xlrd2="http://schemas.microsoft.com/office/spreadsheetml/2017/richdata2" ref="A2:E164">
    <sortCondition ref="A2:A164" customList="January,February,March,April,May,June,July,August,September,October,November,December"/>
  </sortState>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6E3EA-D199-4A48-97D0-5CD5B8CAD538}">
  <dimension ref="A1"/>
  <sheetViews>
    <sheetView workbookViewId="0"/>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b6b5d0da-d5dd-459c-9283-06f417dfea9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2E6CFE5117F314187B391BA24ADCC91" ma:contentTypeVersion="5" ma:contentTypeDescription="Create a new document." ma:contentTypeScope="" ma:versionID="4fdf6a4c9043cc5b8483588c7dba2adb">
  <xsd:schema xmlns:xsd="http://www.w3.org/2001/XMLSchema" xmlns:xs="http://www.w3.org/2001/XMLSchema" xmlns:p="http://schemas.microsoft.com/office/2006/metadata/properties" xmlns:ns3="b6b5d0da-d5dd-459c-9283-06f417dfea99" targetNamespace="http://schemas.microsoft.com/office/2006/metadata/properties" ma:root="true" ma:fieldsID="b42bce7062f35162e09402bb5390931b" ns3:_="">
    <xsd:import namespace="b6b5d0da-d5dd-459c-9283-06f417dfea99"/>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b5d0da-d5dd-459c-9283-06f417dfea99"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7604B3E-6F7B-4263-9D17-64B5B5AB1B62}">
  <ds:schemaRefs>
    <ds:schemaRef ds:uri="http://purl.org/dc/terms/"/>
    <ds:schemaRef ds:uri="http://schemas.openxmlformats.org/package/2006/metadata/core-properties"/>
    <ds:schemaRef ds:uri="http://schemas.microsoft.com/office/2006/metadata/properties"/>
    <ds:schemaRef ds:uri="http://schemas.microsoft.com/office/2006/documentManagement/types"/>
    <ds:schemaRef ds:uri="http://schemas.microsoft.com/office/infopath/2007/PartnerControls"/>
    <ds:schemaRef ds:uri="http://purl.org/dc/dcmitype/"/>
    <ds:schemaRef ds:uri="b6b5d0da-d5dd-459c-9283-06f417dfea99"/>
    <ds:schemaRef ds:uri="http://www.w3.org/XML/1998/namespace"/>
    <ds:schemaRef ds:uri="http://purl.org/dc/elements/1.1/"/>
  </ds:schemaRefs>
</ds:datastoreItem>
</file>

<file path=customXml/itemProps2.xml><?xml version="1.0" encoding="utf-8"?>
<ds:datastoreItem xmlns:ds="http://schemas.openxmlformats.org/officeDocument/2006/customXml" ds:itemID="{A870EC34-68A7-4E64-B2CE-60E6A0A6C789}">
  <ds:schemaRefs>
    <ds:schemaRef ds:uri="http://schemas.microsoft.com/sharepoint/v3/contenttype/forms"/>
  </ds:schemaRefs>
</ds:datastoreItem>
</file>

<file path=customXml/itemProps3.xml><?xml version="1.0" encoding="utf-8"?>
<ds:datastoreItem xmlns:ds="http://schemas.openxmlformats.org/officeDocument/2006/customXml" ds:itemID="{930946F8-B921-4A85-A453-65BDFB41A6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b5d0da-d5dd-459c-9283-06f417dfea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9ef9f489-e0a0-4eeb-87cc-3a526112fd0d}" enabled="0" method="" siteId="{9ef9f489-e0a0-4eeb-87cc-3a526112fd0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Sheet5</vt:lpstr>
      <vt:lpstr>messy_retail_data</vt:lpstr>
      <vt:lpstr>Sheet6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Brock Kobal</dc:creator>
  <cp:lastModifiedBy>Kobal, Brock E</cp:lastModifiedBy>
  <dcterms:created xsi:type="dcterms:W3CDTF">2025-12-13T22:46:50Z</dcterms:created>
  <dcterms:modified xsi:type="dcterms:W3CDTF">2025-12-14T03:48:34Z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0x01010062E6CFE5117F314187B391BA24ADCC91</vt:lpwstr>
  </property>
</Properties>
</file>